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3dbf0ce75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机BOM" sheetId="1" r:id="R45cf300b82994f0c"/>
    <x:sheet xmlns:r="http://schemas.openxmlformats.org/officeDocument/2006/relationships" name="独立停车座" sheetId="2" r:id="R8e3034b7775342f4"/>
    <x:sheet xmlns:r="http://schemas.openxmlformats.org/officeDocument/2006/relationships" name="待确认采购" sheetId="3" r:id="R0f33d1c83d974a6b"/>
    <x:sheet xmlns:r="http://schemas.openxmlformats.org/officeDocument/2006/relationships" name="原桶来源与替换" sheetId="4" r:id="R9e0d8feb688b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83B56"/>
      <x:name val="Arial"/>
    </x:font>
    <x:font>
      <x:sz val="10"/>
      <x:color rgb="FF6B7280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FFF0C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83B5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color rgb="FFB45309"/>
      </x:font>
      <x:fill>
        <x:patternFill patternType="solid">
          <x:bgColor rgb="FFFFF0CF"/>
        </x:patternFill>
      </x:fill>
    </x:dxf>
    <x:dxf>
      <x:font>
        <x:color rgb="FFB45309"/>
      </x:font>
      <x:fill>
        <x:patternFill patternType="solid">
          <x:bgColor rgb="FFFFF0CF"/>
        </x:patternFill>
      </x:fill>
    </x:dxf>
    <x:dxf>
      <x:font>
        <x:color rgb="FFB45309"/>
      </x:font>
      <x:fill>
        <x:patternFill patternType="solid">
          <x:bgColor rgb="FFFFF0CF"/>
        </x:patternFill>
      </x:fill>
    </x:dxf>
    <x:dxf>
      <x:font>
        <x:color rgb="FFB45309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bed5510264331" /><Relationship Type="http://schemas.openxmlformats.org/officeDocument/2006/relationships/theme" Target="/xl/theme/theme1.xml" Id="Re05cf57a4ac048b8" /><Relationship Type="http://schemas.openxmlformats.org/officeDocument/2006/relationships/sharedStrings" Target="/xl/sharedStrings.xml" Id="Rfb079e90c63a4a00" /><Relationship Type="http://schemas.openxmlformats.org/officeDocument/2006/relationships/worksheet" Target="/xl/worksheets/sheet1.xml" Id="R45cf300b82994f0c" /><Relationship Type="http://schemas.openxmlformats.org/officeDocument/2006/relationships/worksheet" Target="/xl/worksheets/sheet2.xml" Id="R8e3034b7775342f4" /><Relationship Type="http://schemas.openxmlformats.org/officeDocument/2006/relationships/worksheet" Target="/xl/worksheets/sheet3.xml" Id="R0f33d1c83d974a6b" /><Relationship Type="http://schemas.openxmlformats.org/officeDocument/2006/relationships/worksheet" Target="/xl/worksheets/sheet4.xml" Id="R9e0d8feb688b4af8" /></Relationships>
</file>

<file path=xl/tables/table1.xml><?xml version="1.0" encoding="utf-8"?>
<x:table xmlns:x="http://schemas.openxmlformats.org/spreadsheetml/2006/main" id="1" name="GantryBOM" displayName="GantryBOM" ref="A9:H66" headerRowCount="1" totalsRowCount="0" totalsRowShown="0">
  <x:tableColumns count="8">
    <x:tableColumn id="1" name="分类"/>
    <x:tableColumn id="2" name="编号"/>
    <x:tableColumn id="3" name="名称"/>
    <x:tableColumn id="4" name="数量"/>
    <x:tableColumn id="5" name="单位"/>
    <x:tableColumn id="6" name="规格与接口（mm）"/>
    <x:tableColumn id="7" name="材料"/>
    <x:tableColumn id="8" name="制造/采购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kBOM" displayName="DockBOM" ref="A7:H12" headerRowCount="1" totalsRowCount="0" totalsRowShown="0">
  <x:tableColumns count="8">
    <x:tableColumn id="1" name="分类"/>
    <x:tableColumn id="2" name="编号"/>
    <x:tableColumn id="3" name="名称"/>
    <x:tableColumn id="4" name="数量"/>
    <x:tableColumn id="5" name="单位"/>
    <x:tableColumn id="6" name="规格与接口（mm）"/>
    <x:tableColumn id="7" name="材料"/>
    <x:tableColumn id="8" name="制造/采购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Procurement" displayName="PendingProcurement" ref="A7:H19" headerRowCount="1" totalsRowCount="0" totalsRowShown="0">
  <x:tableColumns count="8">
    <x:tableColumn id="1" name="编号"/>
    <x:tableColumn id="2" name="对应BOM"/>
    <x:tableColumn id="3" name="功能项目"/>
    <x:tableColumn id="4" name="要求"/>
    <x:tableColumn id="5" name="必须确认的参数"/>
    <x:tableColumn id="6" name="当前缺口"/>
    <x:tableColumn id="7" name="接口/验收约束"/>
    <x:tableColumn id="8" name="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BucketParts" displayName="SourceBucketParts" ref="A7:G66" headerRowCount="1" totalsRowCount="0" totalsRowShown="0">
  <x:tableColumns count="7">
    <x:tableColumn id="1" name="序号"/>
    <x:tableColumn id="2" name="原件编号"/>
    <x:tableColumn id="3" name="本方案处理"/>
    <x:tableColumn id="4" name="装入实例数"/>
    <x:tableColumn id="5" name="数量口径"/>
    <x:tableColumn id="6" name="采购归属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fa99d327141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ba222bd47e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3d622ee54a4a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66db67a48646ab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3" hidden="0" customWidth="1"/>
    <x:col min="2" max="2" width="29.75" hidden="0" customWidth="1"/>
    <x:col min="3" max="3" width="23.75" hidden="0" customWidth="1"/>
    <x:col min="4" max="4" width="6" hidden="0" customWidth="1"/>
    <x:col min="5" max="5" width="5.25" hidden="0" customWidth="1"/>
    <x:col min="6" max="6" width="48.75" hidden="0" customWidth="1"/>
    <x:col min="7" max="7" width="18.75" hidden="0" customWidth="1"/>
    <x:col min="8" max="8" width="25" hidden="0" customWidth="1"/>
    <x:col min="9" max="9" width="2.75" hidden="0" customWidth="1"/>
    <x:col min="10" max="10" width="41.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4.4 三轴龙门架 BOM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6" t="str">
        <x:v>范围：龙门架、随Z驱动头支承、自动夹桶及随桶保持件。内部摆盘不在本次范围。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6" t="str">
        <x:v>数量按采购件/套统计。模组固定体与滑台合为成套；原桶原件不与夹具聚合STEP重复计数。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2" t="str">
        <x:v>机架定制项</x:v>
      </x:c>
      <x:c r="B7" s="25" t="n">
        <x:f>COUNTIFS(A10:A66,"机架定制")</x:f>
        <x:v>21</x:v>
      </x:c>
      <x:c r="C7" s="2" t="str">
        <x:v>轴模组成套数</x:v>
      </x:c>
      <x:c r="D7" s="25" t="n">
        <x:f>SUMIFS(D10:D66,A10:A66,"外购轴模组")</x:f>
        <x:v>4</x:v>
      </x:c>
      <x:c r="E7" s="2"/>
      <x:c r="F7" s="2" t="str">
        <x:v>原桶保留件成套数</x:v>
      </x:c>
      <x:c r="G7" s="25" t="n">
        <x:f>SUMIFS(D10:D66,A10:A66,"原桶成套来源")</x:f>
        <x:v>1</x:v>
      </x:c>
      <x:c r="H7" s="2"/>
      <x:c r="I7" s="2"/>
      <x:c r="J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1" customHeight="1">
      <x:c r="A9" s="15" t="str">
        <x:v>分类</x:v>
      </x:c>
      <x:c r="B9" s="16" t="str">
        <x:v>编号</x:v>
      </x:c>
      <x:c r="C9" s="16" t="str">
        <x:v>名称</x:v>
      </x:c>
      <x:c r="D9" s="16" t="str">
        <x:v>数量</x:v>
      </x:c>
      <x:c r="E9" s="16" t="str">
        <x:v>单位</x:v>
      </x:c>
      <x:c r="F9" s="16" t="str">
        <x:v>规格与接口（mm）</x:v>
      </x:c>
      <x:c r="G9" s="16" t="str">
        <x:v>材料</x:v>
      </x:c>
      <x:c r="H9" s="17" t="str">
        <x:v>制造/采购状态</x:v>
      </x:c>
      <x:c r="I9" s="21" t="str"/>
      <x:c r="J9" s="2" t="str">
        <x:v>来源与模型编号</x:v>
      </x:c>
    </x:row>
    <x:row r="10" ht="32" customHeight="1">
      <x:c r="A10" s="18" t="str">
        <x:v>机架定制</x:v>
      </x:c>
      <x:c r="B10" s="18" t="str">
        <x:v>F_side_lower_L</x:v>
      </x:c>
      <x:c r="C10" s="18" t="str">
        <x:v>侧框下横管（左）</x:v>
      </x:c>
      <x:c r="D10" s="20" t="n">
        <x:v>1</x:v>
      </x:c>
      <x:c r="E10" s="18" t="str">
        <x:v>件</x:v>
      </x:c>
      <x:c r="F10" s="18" t="str">
        <x:v>外廓 X/Y/Z：60 × 969 × 60 mm。焊接侧框;焊缝详图定义, 不用贴面代替连接</x:v>
      </x:c>
      <x:c r="G10" s="18" t="str">
        <x:v>Q235B矩形管60×60×4</x:v>
      </x:c>
      <x:c r="H10" s="18" t="str">
        <x:v>名义几何；工艺公差待冻结</x:v>
      </x:c>
      <x:c r="I10" s="21" t="str"/>
      <x:c r="J10" s="22" t="str">
        <x:v>gantry44_manifest.json；F_side_lower_L.step</x:v>
      </x:c>
    </x:row>
    <x:row r="11" ht="32" customHeight="1">
      <x:c r="A11" s="23" t="str">
        <x:v>机架定制</x:v>
      </x:c>
      <x:c r="B11" s="23" t="str">
        <x:v>F_post_L_front</x:v>
      </x:c>
      <x:c r="C11" s="23" t="str">
        <x:v>立柱（前）</x:v>
      </x:c>
      <x:c r="D11" s="24" t="n">
        <x:v>1</x:v>
      </x:c>
      <x:c r="E11" s="23" t="str">
        <x:v>件</x:v>
      </x:c>
      <x:c r="F11" s="23" t="str">
        <x:v>外廓 X/Y/Z：60 × 60 × 528 mm。四周连续角焊缝a4;组焊去应力后精加工顶面</x:v>
      </x:c>
      <x:c r="G11" s="23" t="str">
        <x:v>Q235B矩形管60×60×4</x:v>
      </x:c>
      <x:c r="H11" s="23" t="str">
        <x:v>名义几何；工艺公差待冻结</x:v>
      </x:c>
      <x:c r="I11" s="21" t="str"/>
      <x:c r="J11" s="22" t="str">
        <x:v>gantry44_manifest.json；F_post_L_front.step</x:v>
      </x:c>
    </x:row>
    <x:row r="12" ht="32" customHeight="1">
      <x:c r="A12" s="18" t="str">
        <x:v>机架定制</x:v>
      </x:c>
      <x:c r="B12" s="18" t="str">
        <x:v>F_post_L_rear</x:v>
      </x:c>
      <x:c r="C12" s="18" t="str">
        <x:v>立柱（后）</x:v>
      </x:c>
      <x:c r="D12" s="20" t="n">
        <x:v>1</x:v>
      </x:c>
      <x:c r="E12" s="18" t="str">
        <x:v>件</x:v>
      </x:c>
      <x:c r="F12" s="18" t="str">
        <x:v>外廓 X/Y/Z：60 × 60 × 528 mm。四周连续角焊缝a4;组焊去应力后精加工顶面</x:v>
      </x:c>
      <x:c r="G12" s="18" t="str">
        <x:v>Q235B矩形管60×60×4</x:v>
      </x:c>
      <x:c r="H12" s="18" t="str">
        <x:v>名义几何；工艺公差待冻结</x:v>
      </x:c>
      <x:c r="I12" s="21" t="str"/>
      <x:c r="J12" s="22" t="str">
        <x:v>gantry44_manifest.json；F_post_L_rear.step</x:v>
      </x:c>
    </x:row>
    <x:row r="13" ht="32" customHeight="1">
      <x:c r="A13" s="23" t="str">
        <x:v>机架定制</x:v>
      </x:c>
      <x:c r="B13" s="23" t="str">
        <x:v>F_top_rail_L</x:v>
      </x:c>
      <x:c r="C13" s="23" t="str">
        <x:v>Y轴上承梁（左）</x:v>
      </x:c>
      <x:c r="D13" s="24" t="n">
        <x:v>1</x:v>
      </x:c>
      <x:c r="E13" s="23" t="str">
        <x:v>件</x:v>
      </x:c>
      <x:c r="F13" s="23" t="str">
        <x:v>外廓 X/Y/Z：80 × 700 × 80 mm。与两柱焊接, 前后柱均承载</x:v>
      </x:c>
      <x:c r="G13" s="23" t="str">
        <x:v>Q235B矩形管80×80×4</x:v>
      </x:c>
      <x:c r="H13" s="23" t="str">
        <x:v>名义几何；工艺公差待冻结</x:v>
      </x:c>
      <x:c r="I13" s="21" t="str"/>
      <x:c r="J13" s="22" t="str">
        <x:v>gantry44_manifest.json；F_top_rail_L.step</x:v>
      </x:c>
    </x:row>
    <x:row r="14" ht="40" customHeight="1">
      <x:c r="A14" s="18" t="str">
        <x:v>机架定制</x:v>
      </x:c>
      <x:c r="B14" s="18" t="str">
        <x:v>F_top_cap_L</x:v>
      </x:c>
      <x:c r="C14" s="18" t="str">
        <x:v>Y轴安装盖板（左）</x:v>
      </x:c>
      <x:c r="D14" s="20" t="n">
        <x:v>1</x:v>
      </x:c>
      <x:c r="E14" s="18" t="str">
        <x:v>件</x:v>
      </x:c>
      <x:c r="F14" s="18" t="str">
        <x:v>外廓 X/Y/Z：120 × 720 × 12 mm。焊后同装夹加工两侧安装平面;槽母/螺栓实装固定模组</x:v>
      </x:c>
      <x:c r="G14" s="18" t="str">
        <x:v>Q235B机加工盖板</x:v>
      </x:c>
      <x:c r="H14" s="18" t="str">
        <x:v>名义几何；工艺公差待冻结</x:v>
      </x:c>
      <x:c r="I14" s="21" t="str"/>
      <x:c r="J14" s="22" t="str">
        <x:v>gantry44_manifest.json；F_top_cap_L.step</x:v>
      </x:c>
    </x:row>
    <x:row r="15" ht="32" customHeight="1">
      <x:c r="A15" s="23" t="str">
        <x:v>机架定制</x:v>
      </x:c>
      <x:c r="B15" s="23" t="str">
        <x:v>F_foot_boss_L_front</x:v>
      </x:c>
      <x:c r="C15" s="23" t="str">
        <x:v>调平脚螺母套（前）</x:v>
      </x:c>
      <x:c r="D15" s="24" t="n">
        <x:v>1</x:v>
      </x:c>
      <x:c r="E15" s="23" t="str">
        <x:v>件</x:v>
      </x:c>
      <x:c r="F15" s="23" t="str">
        <x:v>外廓 X/Y/Z：24 × 24 × 20 mm。</x:v>
      </x:c>
      <x:c r="G15" s="23" t="str">
        <x:v>钢焊接M12螺母套</x:v>
      </x:c>
      <x:c r="H15" s="23" t="str">
        <x:v>名义几何；工艺公差待冻结</x:v>
      </x:c>
      <x:c r="I15" s="21" t="str"/>
      <x:c r="J15" s="22" t="str">
        <x:v>gantry44_manifest.json；F_foot_boss_L_front.step</x:v>
      </x:c>
    </x:row>
    <x:row r="16" ht="32" customHeight="1">
      <x:c r="A16" s="18" t="str">
        <x:v>机架定制</x:v>
      </x:c>
      <x:c r="B16" s="18" t="str">
        <x:v>F_foot_boss_L_rear</x:v>
      </x:c>
      <x:c r="C16" s="18" t="str">
        <x:v>调平脚螺母套（后）</x:v>
      </x:c>
      <x:c r="D16" s="20" t="n">
        <x:v>1</x:v>
      </x:c>
      <x:c r="E16" s="18" t="str">
        <x:v>件</x:v>
      </x:c>
      <x:c r="F16" s="18" t="str">
        <x:v>外廓 X/Y/Z：24 × 24 × 20 mm。</x:v>
      </x:c>
      <x:c r="G16" s="18" t="str">
        <x:v>钢焊接M12螺母套</x:v>
      </x:c>
      <x:c r="H16" s="18" t="str">
        <x:v>名义几何；工艺公差待冻结</x:v>
      </x:c>
      <x:c r="I16" s="21" t="str"/>
      <x:c r="J16" s="22" t="str">
        <x:v>gantry44_manifest.json；F_foot_boss_L_rear.step</x:v>
      </x:c>
    </x:row>
    <x:row r="17" ht="32" customHeight="1">
      <x:c r="A17" s="23" t="str">
        <x:v>机架定制</x:v>
      </x:c>
      <x:c r="B17" s="23" t="str">
        <x:v>F_side_lower_R</x:v>
      </x:c>
      <x:c r="C17" s="23" t="str">
        <x:v>侧框下横管（右）</x:v>
      </x:c>
      <x:c r="D17" s="24" t="n">
        <x:v>1</x:v>
      </x:c>
      <x:c r="E17" s="23" t="str">
        <x:v>件</x:v>
      </x:c>
      <x:c r="F17" s="23" t="str">
        <x:v>外廓 X/Y/Z：60 × 969 × 60 mm。焊接侧框;焊缝详图定义, 不用贴面代替连接</x:v>
      </x:c>
      <x:c r="G17" s="23" t="str">
        <x:v>Q235B矩形管60×60×4</x:v>
      </x:c>
      <x:c r="H17" s="23" t="str">
        <x:v>名义几何；工艺公差待冻结</x:v>
      </x:c>
      <x:c r="I17" s="21" t="str"/>
      <x:c r="J17" s="22" t="str">
        <x:v>gantry44_manifest.json；F_side_lower_R.step</x:v>
      </x:c>
    </x:row>
    <x:row r="18" ht="32" customHeight="1">
      <x:c r="A18" s="18" t="str">
        <x:v>机架定制</x:v>
      </x:c>
      <x:c r="B18" s="18" t="str">
        <x:v>F_post_R_front</x:v>
      </x:c>
      <x:c r="C18" s="18" t="str">
        <x:v>立柱（前）</x:v>
      </x:c>
      <x:c r="D18" s="20" t="n">
        <x:v>1</x:v>
      </x:c>
      <x:c r="E18" s="18" t="str">
        <x:v>件</x:v>
      </x:c>
      <x:c r="F18" s="18" t="str">
        <x:v>外廓 X/Y/Z：60 × 60 × 528 mm。四周连续角焊缝a4;组焊去应力后精加工顶面</x:v>
      </x:c>
      <x:c r="G18" s="18" t="str">
        <x:v>Q235B矩形管60×60×4</x:v>
      </x:c>
      <x:c r="H18" s="18" t="str">
        <x:v>名义几何；工艺公差待冻结</x:v>
      </x:c>
      <x:c r="I18" s="21" t="str"/>
      <x:c r="J18" s="22" t="str">
        <x:v>gantry44_manifest.json；F_post_R_front.step</x:v>
      </x:c>
    </x:row>
    <x:row r="19" ht="32" customHeight="1">
      <x:c r="A19" s="23" t="str">
        <x:v>机架定制</x:v>
      </x:c>
      <x:c r="B19" s="23" t="str">
        <x:v>F_post_R_rear</x:v>
      </x:c>
      <x:c r="C19" s="23" t="str">
        <x:v>立柱（后）</x:v>
      </x:c>
      <x:c r="D19" s="24" t="n">
        <x:v>1</x:v>
      </x:c>
      <x:c r="E19" s="23" t="str">
        <x:v>件</x:v>
      </x:c>
      <x:c r="F19" s="23" t="str">
        <x:v>外廓 X/Y/Z：60 × 60 × 528 mm。四周连续角焊缝a4;组焊去应力后精加工顶面</x:v>
      </x:c>
      <x:c r="G19" s="23" t="str">
        <x:v>Q235B矩形管60×60×4</x:v>
      </x:c>
      <x:c r="H19" s="23" t="str">
        <x:v>名义几何；工艺公差待冻结</x:v>
      </x:c>
      <x:c r="I19" s="21" t="str"/>
      <x:c r="J19" s="22" t="str">
        <x:v>gantry44_manifest.json；F_post_R_rear.step</x:v>
      </x:c>
    </x:row>
    <x:row r="20" ht="32" customHeight="1">
      <x:c r="A20" s="18" t="str">
        <x:v>机架定制</x:v>
      </x:c>
      <x:c r="B20" s="18" t="str">
        <x:v>F_top_rail_R</x:v>
      </x:c>
      <x:c r="C20" s="18" t="str">
        <x:v>Y轴上承梁（右）</x:v>
      </x:c>
      <x:c r="D20" s="20" t="n">
        <x:v>1</x:v>
      </x:c>
      <x:c r="E20" s="18" t="str">
        <x:v>件</x:v>
      </x:c>
      <x:c r="F20" s="18" t="str">
        <x:v>外廓 X/Y/Z：80 × 700 × 80 mm。与两柱焊接, 前后柱均承载</x:v>
      </x:c>
      <x:c r="G20" s="18" t="str">
        <x:v>Q235B矩形管80×80×4</x:v>
      </x:c>
      <x:c r="H20" s="18" t="str">
        <x:v>名义几何；工艺公差待冻结</x:v>
      </x:c>
      <x:c r="I20" s="21" t="str"/>
      <x:c r="J20" s="22" t="str">
        <x:v>gantry44_manifest.json；F_top_rail_R.step</x:v>
      </x:c>
    </x:row>
    <x:row r="21" ht="40" customHeight="1">
      <x:c r="A21" s="23" t="str">
        <x:v>机架定制</x:v>
      </x:c>
      <x:c r="B21" s="23" t="str">
        <x:v>F_top_cap_R</x:v>
      </x:c>
      <x:c r="C21" s="23" t="str">
        <x:v>Y轴安装盖板（右）</x:v>
      </x:c>
      <x:c r="D21" s="24" t="n">
        <x:v>1</x:v>
      </x:c>
      <x:c r="E21" s="23" t="str">
        <x:v>件</x:v>
      </x:c>
      <x:c r="F21" s="23" t="str">
        <x:v>外廓 X/Y/Z：120 × 720 × 12 mm。焊后同装夹加工两侧安装平面;槽母/螺栓实装固定模组</x:v>
      </x:c>
      <x:c r="G21" s="23" t="str">
        <x:v>Q235B机加工盖板</x:v>
      </x:c>
      <x:c r="H21" s="23" t="str">
        <x:v>名义几何；工艺公差待冻结</x:v>
      </x:c>
      <x:c r="I21" s="21" t="str"/>
      <x:c r="J21" s="22" t="str">
        <x:v>gantry44_manifest.json；F_top_cap_R.step</x:v>
      </x:c>
    </x:row>
    <x:row r="22" ht="32" customHeight="1">
      <x:c r="A22" s="18" t="str">
        <x:v>机架定制</x:v>
      </x:c>
      <x:c r="B22" s="18" t="str">
        <x:v>F_foot_boss_R_front</x:v>
      </x:c>
      <x:c r="C22" s="18" t="str">
        <x:v>调平脚螺母套（前）</x:v>
      </x:c>
      <x:c r="D22" s="20" t="n">
        <x:v>1</x:v>
      </x:c>
      <x:c r="E22" s="18" t="str">
        <x:v>件</x:v>
      </x:c>
      <x:c r="F22" s="18" t="str">
        <x:v>外廓 X/Y/Z：24 × 24 × 20 mm。</x:v>
      </x:c>
      <x:c r="G22" s="18" t="str">
        <x:v>钢焊接M12螺母套</x:v>
      </x:c>
      <x:c r="H22" s="18" t="str">
        <x:v>名义几何；工艺公差待冻结</x:v>
      </x:c>
      <x:c r="I22" s="21" t="str"/>
      <x:c r="J22" s="22" t="str">
        <x:v>gantry44_manifest.json；F_foot_boss_R_front.step</x:v>
      </x:c>
    </x:row>
    <x:row r="23" ht="32" customHeight="1">
      <x:c r="A23" s="23" t="str">
        <x:v>机架定制</x:v>
      </x:c>
      <x:c r="B23" s="23" t="str">
        <x:v>F_foot_boss_R_rear</x:v>
      </x:c>
      <x:c r="C23" s="23" t="str">
        <x:v>调平脚螺母套（后）</x:v>
      </x:c>
      <x:c r="D23" s="24" t="n">
        <x:v>1</x:v>
      </x:c>
      <x:c r="E23" s="23" t="str">
        <x:v>件</x:v>
      </x:c>
      <x:c r="F23" s="23" t="str">
        <x:v>外廓 X/Y/Z：24 × 24 × 20 mm。</x:v>
      </x:c>
      <x:c r="G23" s="23" t="str">
        <x:v>钢焊接M12螺母套</x:v>
      </x:c>
      <x:c r="H23" s="23" t="str">
        <x:v>名义几何；工艺公差待冻结</x:v>
      </x:c>
      <x:c r="I23" s="21" t="str"/>
      <x:c r="J23" s="22" t="str">
        <x:v>gantry44_manifest.json；F_foot_boss_R_rear.step</x:v>
      </x:c>
    </x:row>
    <x:row r="24" ht="32" customHeight="1">
      <x:c r="A24" s="18" t="str">
        <x:v>机架定制</x:v>
      </x:c>
      <x:c r="B24" s="18" t="str">
        <x:v>F_cross_lower_front</x:v>
      </x:c>
      <x:c r="C24" s="18" t="str">
        <x:v>底部横梁（前）</x:v>
      </x:c>
      <x:c r="D24" s="20" t="n">
        <x:v>1</x:v>
      </x:c>
      <x:c r="E24" s="18" t="str">
        <x:v>件</x:v>
      </x:c>
      <x:c r="F24" s="18" t="str">
        <x:v>外廓 X/Y/Z：1140 × 60 × 60 mm。两端a4连续角焊缝</x:v>
      </x:c>
      <x:c r="G24" s="18" t="str">
        <x:v>Q235B矩形管60×60×4</x:v>
      </x:c>
      <x:c r="H24" s="18" t="str">
        <x:v>名义几何；工艺公差待冻结</x:v>
      </x:c>
      <x:c r="I24" s="21" t="str"/>
      <x:c r="J24" s="22" t="str">
        <x:v>gantry44_manifest.json；F_cross_lower_front.step</x:v>
      </x:c>
    </x:row>
    <x:row r="25" ht="32" customHeight="1">
      <x:c r="A25" s="23" t="str">
        <x:v>机架定制</x:v>
      </x:c>
      <x:c r="B25" s="23" t="str">
        <x:v>F_cross_lower_rear</x:v>
      </x:c>
      <x:c r="C25" s="23" t="str">
        <x:v>底部横梁（后）</x:v>
      </x:c>
      <x:c r="D25" s="24" t="n">
        <x:v>1</x:v>
      </x:c>
      <x:c r="E25" s="23" t="str">
        <x:v>件</x:v>
      </x:c>
      <x:c r="F25" s="23" t="str">
        <x:v>外廓 X/Y/Z：1140 × 60 × 60 mm。两端a4连续角焊缝</x:v>
      </x:c>
      <x:c r="G25" s="23" t="str">
        <x:v>Q235B矩形管60×60×4</x:v>
      </x:c>
      <x:c r="H25" s="23" t="str">
        <x:v>名义几何；工艺公差待冻结</x:v>
      </x:c>
      <x:c r="I25" s="21" t="str"/>
      <x:c r="J25" s="22" t="str">
        <x:v>gantry44_manifest.json；F_cross_lower_rear.step</x:v>
      </x:c>
    </x:row>
    <x:row r="26" ht="40" customHeight="1">
      <x:c r="A26" s="18" t="str">
        <x:v>机架定制</x:v>
      </x:c>
      <x:c r="B26" s="18" t="str">
        <x:v>B_sole_L</x:v>
      </x:c>
      <x:c r="C26" s="18" t="str">
        <x:v>X横梁端底板（左）</x:v>
      </x:c>
      <x:c r="D26" s="20" t="n">
        <x:v>1</x:v>
      </x:c>
      <x:c r="E26" s="18" t="str">
        <x:v>件</x:v>
      </x:c>
      <x:c r="F26" s="18" t="str">
        <x:v>外廓 X/Y/Z：140 × 150 × 12 mm。6061焊接箱梁端底板;沉孔M5从箱梁贯通工具孔安装</x:v>
      </x:c>
      <x:c r="G26" s="18" t="str">
        <x:v>6061-T6</x:v>
      </x:c>
      <x:c r="H26" s="18" t="str">
        <x:v>名义几何；工艺公差待冻结</x:v>
      </x:c>
      <x:c r="I26" s="21" t="str"/>
      <x:c r="J26" s="22" t="str">
        <x:v>gantry44_manifest.json；B_sole_L.step</x:v>
      </x:c>
    </x:row>
    <x:row r="27" ht="40" customHeight="1">
      <x:c r="A27" s="23" t="str">
        <x:v>机架定制</x:v>
      </x:c>
      <x:c r="B27" s="23" t="str">
        <x:v>B_sole_R</x:v>
      </x:c>
      <x:c r="C27" s="23" t="str">
        <x:v>X横梁端底板（右）</x:v>
      </x:c>
      <x:c r="D27" s="24" t="n">
        <x:v>1</x:v>
      </x:c>
      <x:c r="E27" s="23" t="str">
        <x:v>件</x:v>
      </x:c>
      <x:c r="F27" s="23" t="str">
        <x:v>外廓 X/Y/Z：140 × 150 × 12 mm。6061焊接箱梁端底板;沉孔M5从箱梁贯通工具孔安装</x:v>
      </x:c>
      <x:c r="G27" s="23" t="str">
        <x:v>6061-T6</x:v>
      </x:c>
      <x:c r="H27" s="23" t="str">
        <x:v>名义几何；工艺公差待冻结</x:v>
      </x:c>
      <x:c r="I27" s="21" t="str"/>
      <x:c r="J27" s="22" t="str">
        <x:v>gantry44_manifest.json；B_sole_R.step</x:v>
      </x:c>
    </x:row>
    <x:row r="28" ht="40" customHeight="1">
      <x:c r="A28" s="18" t="str">
        <x:v>机架定制</x:v>
      </x:c>
      <x:c r="B28" s="18" t="str">
        <x:v>B_crossbeam</x:v>
      </x:c>
      <x:c r="C28" s="18" t="str">
        <x:v>X轴承载箱梁</x:v>
      </x:c>
      <x:c r="D28" s="20" t="n">
        <x:v>1</x:v>
      </x:c>
      <x:c r="E28" s="18" t="str">
        <x:v>件</x:v>
      </x:c>
      <x:c r="F28" s="18" t="str">
        <x:v>外廓 X/Y/Z：1330 × 80 × 120 mm。箱形截面120×80×5;6061焊接区按退火强度校核,去应力后加工安装面;两端底板a4焊接</x:v>
      </x:c>
      <x:c r="G28" s="18" t="str">
        <x:v>6061-T6</x:v>
      </x:c>
      <x:c r="H28" s="18" t="str">
        <x:v>名义几何；工艺公差待冻结</x:v>
      </x:c>
      <x:c r="I28" s="21" t="str"/>
      <x:c r="J28" s="22" t="str">
        <x:v>gantry44_manifest.json；B_crossbeam.step</x:v>
      </x:c>
    </x:row>
    <x:row r="29" ht="40" customHeight="1">
      <x:c r="A29" s="23" t="str">
        <x:v>机架定制</x:v>
      </x:c>
      <x:c r="B29" s="23" t="str">
        <x:v>A_Z_fixed_backplate</x:v>
      </x:c>
      <x:c r="C29" s="23" t="str">
        <x:v>Z固定背板</x:v>
      </x:c>
      <x:c r="D29" s="24" t="n">
        <x:v>1</x:v>
      </x:c>
      <x:c r="E29" s="23" t="str">
        <x:v>件</x:v>
      </x:c>
      <x:c r="F29" s="23" t="str">
        <x:v>外廓 X/Y/Z：110 × 12 × 575 mm。110×575×12;两列Z底槽M6,4×M5连接X滑台;无需重钻厂家件</x:v>
      </x:c>
      <x:c r="G29" s="23" t="str">
        <x:v>6061-T6</x:v>
      </x:c>
      <x:c r="H29" s="23" t="str">
        <x:v>名义几何；工艺公差待冻结</x:v>
      </x:c>
      <x:c r="I29" s="21" t="str"/>
      <x:c r="J29" s="22" t="str">
        <x:v>gantry44_manifest.json；A_Z_fixed_backplate.step</x:v>
      </x:c>
    </x:row>
    <x:row r="30" ht="40" customHeight="1">
      <x:c r="A30" s="18" t="str">
        <x:v>机架定制</x:v>
      </x:c>
      <x:c r="B30" s="18" t="str">
        <x:v>A_Z_tool_drop</x:v>
      </x:c>
      <x:c r="C30" s="18" t="str">
        <x:v>Z端带筋下伸座</x:v>
      </x:c>
      <x:c r="D30" s="20" t="n">
        <x:v>1</x:v>
      </x:c>
      <x:c r="E30" s="18" t="str">
        <x:v>件</x:v>
      </x:c>
      <x:c r="F30" s="18" t="str">
        <x:v>外廓 X/Y/Z：100 × 30 × 290 mm。整体铣削带筋下伸座,不以零件悬空获得工作高度;全行程端点TCP=25..345</x:v>
      </x:c>
      <x:c r="G30" s="18" t="str">
        <x:v>6061-T6</x:v>
      </x:c>
      <x:c r="H30" s="18" t="str">
        <x:v>名义几何；工艺公差待冻结</x:v>
      </x:c>
      <x:c r="I30" s="21" t="str"/>
      <x:c r="J30" s="22" t="str">
        <x:v>gantry44_manifest.json；A_Z_tool_drop.step</x:v>
      </x:c>
    </x:row>
    <x:row r="31" ht="32" customHeight="1">
      <x:c r="A31" s="23" t="str">
        <x:v>机架标准件</x:v>
      </x:c>
      <x:c r="B31" s="23" t="str">
        <x:v>Ybase_M6x18</x:v>
      </x:c>
      <x:c r="C31" s="23" t="str">
        <x:v>Y模组底座圆柱头螺钉</x:v>
      </x:c>
      <x:c r="D31" s="24" t="n">
        <x:v>12</x:v>
      </x:c>
      <x:c r="E31" s="23" t="str">
        <x:v>件</x:v>
      </x:c>
      <x:c r="F31" s="23" t="str">
        <x:v>M6 × 18</x:v>
      </x:c>
      <x:c r="G31" s="23" t="str">
        <x:v>钢</x:v>
      </x:c>
      <x:c r="H31" s="23" t="str">
        <x:v>等级/表面处理/扭矩待冻结</x:v>
      </x:c>
      <x:c r="I31" s="21" t="str"/>
      <x:c r="J31" s="22" t="str">
        <x:v>gantry44_manifest.json：Ybase_M6x18；按实例计数</x:v>
      </x:c>
    </x:row>
    <x:row r="32" ht="32" customHeight="1">
      <x:c r="A32" s="18" t="str">
        <x:v>外购待定</x:v>
      </x:c>
      <x:c r="B32" s="18" t="str">
        <x:v>F_level_foot</x:v>
      </x:c>
      <x:c r="C32" s="18" t="str">
        <x:v>调平支脚</x:v>
      </x:c>
      <x:c r="D32" s="20" t="n">
        <x:v>4</x:v>
      </x:c>
      <x:c r="E32" s="18" t="str">
        <x:v>件</x:v>
      </x:c>
      <x:c r="F32" s="18" t="str">
        <x:v>M12脚杆、脚垫Ø60；需按整机重量选额定载荷</x:v>
      </x:c>
      <x:c r="G32" s="18" t="str">
        <x:v>钢/防滑脚垫</x:v>
      </x:c>
      <x:c r="H32" s="18" t="str">
        <x:v>供应商型号/承载待确认</x:v>
      </x:c>
      <x:c r="I32" s="21" t="str"/>
      <x:c r="J32" s="22" t="str">
        <x:v>gantry44_manifest.json：F_level_foot；按实例计数</x:v>
      </x:c>
    </x:row>
    <x:row r="33" ht="32" customHeight="1">
      <x:c r="A33" s="23" t="str">
        <x:v>机架标准件</x:v>
      </x:c>
      <x:c r="B33" s="23" t="str">
        <x:v>F_locknut_M12</x:v>
      </x:c>
      <x:c r="C33" s="23" t="str">
        <x:v>调平脚锁紧螺母</x:v>
      </x:c>
      <x:c r="D33" s="24" t="n">
        <x:v>4</x:v>
      </x:c>
      <x:c r="E33" s="23" t="str">
        <x:v>件</x:v>
      </x:c>
      <x:c r="F33" s="23" t="str">
        <x:v>M12</x:v>
      </x:c>
      <x:c r="G33" s="23" t="str">
        <x:v>钢</x:v>
      </x:c>
      <x:c r="H33" s="23" t="str">
        <x:v>等级/表面处理/扭矩待冻结</x:v>
      </x:c>
      <x:c r="I33" s="21" t="str"/>
      <x:c r="J33" s="22" t="str">
        <x:v>gantry44_manifest.json：F_locknut_M12；按实例计数</x:v>
      </x:c>
    </x:row>
    <x:row r="34" ht="32" customHeight="1">
      <x:c r="A34" s="18" t="str">
        <x:v>机架标准件</x:v>
      </x:c>
      <x:c r="B34" s="18" t="str">
        <x:v>Yslide_M5x20</x:v>
      </x:c>
      <x:c r="C34" s="18" t="str">
        <x:v>Y滑台连接螺钉</x:v>
      </x:c>
      <x:c r="D34" s="20" t="n">
        <x:v>12</x:v>
      </x:c>
      <x:c r="E34" s="18" t="str">
        <x:v>件</x:v>
      </x:c>
      <x:c r="F34" s="18" t="str">
        <x:v>M5 × 20</x:v>
      </x:c>
      <x:c r="G34" s="18" t="str">
        <x:v>钢</x:v>
      </x:c>
      <x:c r="H34" s="18" t="str">
        <x:v>等级/表面处理/扭矩待冻结</x:v>
      </x:c>
      <x:c r="I34" s="21" t="str"/>
      <x:c r="J34" s="22" t="str">
        <x:v>gantry44_manifest.json：Yslide_M5x20；按实例计数</x:v>
      </x:c>
    </x:row>
    <x:row r="35" ht="32" customHeight="1">
      <x:c r="A35" s="23" t="str">
        <x:v>机架标准件</x:v>
      </x:c>
      <x:c r="B35" s="23" t="str">
        <x:v>Xbase_M6x12</x:v>
      </x:c>
      <x:c r="C35" s="23" t="str">
        <x:v>X模组底座螺钉</x:v>
      </x:c>
      <x:c r="D35" s="24" t="n">
        <x:v>10</x:v>
      </x:c>
      <x:c r="E35" s="23" t="str">
        <x:v>件</x:v>
      </x:c>
      <x:c r="F35" s="23" t="str">
        <x:v>M6 × 12</x:v>
      </x:c>
      <x:c r="G35" s="23" t="str">
        <x:v>钢</x:v>
      </x:c>
      <x:c r="H35" s="23" t="str">
        <x:v>等级/表面处理/扭矩待冻结</x:v>
      </x:c>
      <x:c r="I35" s="21" t="str"/>
      <x:c r="J35" s="22" t="str">
        <x:v>gantry44_manifest.json：Xbase_M6x12；按实例计数</x:v>
      </x:c>
    </x:row>
    <x:row r="36" ht="32" customHeight="1">
      <x:c r="A36" s="18" t="str">
        <x:v>机架标准件</x:v>
      </x:c>
      <x:c r="B36" s="18" t="str">
        <x:v>Xbase_washer</x:v>
      </x:c>
      <x:c r="C36" s="18" t="str">
        <x:v>X模组底座平垫</x:v>
      </x:c>
      <x:c r="D36" s="20" t="n">
        <x:v>10</x:v>
      </x:c>
      <x:c r="E36" s="18" t="str">
        <x:v>件</x:v>
      </x:c>
      <x:c r="F36" s="18" t="str">
        <x:v>M6；几何尺寸以分件STEP为准</x:v>
      </x:c>
      <x:c r="G36" s="18" t="str">
        <x:v>钢</x:v>
      </x:c>
      <x:c r="H36" s="18" t="str">
        <x:v>等级/表面处理/扭矩待冻结</x:v>
      </x:c>
      <x:c r="I36" s="21" t="str"/>
      <x:c r="J36" s="22" t="str">
        <x:v>gantry44_manifest.json：Xbase_washer；按实例计数</x:v>
      </x:c>
    </x:row>
    <x:row r="37" ht="32" customHeight="1">
      <x:c r="A37" s="23" t="str">
        <x:v>机架标准件</x:v>
      </x:c>
      <x:c r="B37" s="23" t="str">
        <x:v>XZ_M5x25</x:v>
      </x:c>
      <x:c r="C37" s="23" t="str">
        <x:v>X滑台与Z背板连接螺钉</x:v>
      </x:c>
      <x:c r="D37" s="24" t="n">
        <x:v>4</x:v>
      </x:c>
      <x:c r="E37" s="23" t="str">
        <x:v>件</x:v>
      </x:c>
      <x:c r="F37" s="23" t="str">
        <x:v>M5 × 25</x:v>
      </x:c>
      <x:c r="G37" s="23" t="str">
        <x:v>钢</x:v>
      </x:c>
      <x:c r="H37" s="23" t="str">
        <x:v>等级/表面处理/扭矩待冻结</x:v>
      </x:c>
      <x:c r="I37" s="21" t="str"/>
      <x:c r="J37" s="22" t="str">
        <x:v>gantry44_manifest.json：XZ_M5x25；按实例计数</x:v>
      </x:c>
    </x:row>
    <x:row r="38" ht="32" customHeight="1">
      <x:c r="A38" s="18" t="str">
        <x:v>机架标准件</x:v>
      </x:c>
      <x:c r="B38" s="18" t="str">
        <x:v>Zbase_M6x18</x:v>
      </x:c>
      <x:c r="C38" s="18" t="str">
        <x:v>Z模组底座螺钉</x:v>
      </x:c>
      <x:c r="D38" s="20" t="n">
        <x:v>8</x:v>
      </x:c>
      <x:c r="E38" s="18" t="str">
        <x:v>件</x:v>
      </x:c>
      <x:c r="F38" s="18" t="str">
        <x:v>M6 × 18</x:v>
      </x:c>
      <x:c r="G38" s="18" t="str">
        <x:v>钢</x:v>
      </x:c>
      <x:c r="H38" s="18" t="str">
        <x:v>等级/表面处理/扭矩待冻结</x:v>
      </x:c>
      <x:c r="I38" s="21" t="str"/>
      <x:c r="J38" s="22" t="str">
        <x:v>gantry44_manifest.json：Zbase_M6x18；按实例计数</x:v>
      </x:c>
    </x:row>
    <x:row r="39" ht="32" customHeight="1">
      <x:c r="A39" s="23" t="str">
        <x:v>机架标准件</x:v>
      </x:c>
      <x:c r="B39" s="23" t="str">
        <x:v>Zslide_M4x20</x:v>
      </x:c>
      <x:c r="C39" s="23" t="str">
        <x:v>Z滑台与下伸座螺钉</x:v>
      </x:c>
      <x:c r="D39" s="24" t="n">
        <x:v>6</x:v>
      </x:c>
      <x:c r="E39" s="23" t="str">
        <x:v>件</x:v>
      </x:c>
      <x:c r="F39" s="23" t="str">
        <x:v>M4 × 20</x:v>
      </x:c>
      <x:c r="G39" s="23" t="str">
        <x:v>钢</x:v>
      </x:c>
      <x:c r="H39" s="23" t="str">
        <x:v>等级/表面处理/扭矩待冻结</x:v>
      </x:c>
      <x:c r="I39" s="21" t="str"/>
      <x:c r="J39" s="22" t="str">
        <x:v>gantry44_manifest.json：Zslide_M4x20；按实例计数</x:v>
      </x:c>
    </x:row>
    <x:row r="40" ht="32" customHeight="1">
      <x:c r="A40" s="18" t="str">
        <x:v>机架标准件</x:v>
      </x:c>
      <x:c r="B40" s="18" t="str">
        <x:v>Tool_M6x40</x:v>
      </x:c>
      <x:c r="C40" s="18" t="str">
        <x:v>夹具背板与下伸座螺钉</x:v>
      </x:c>
      <x:c r="D40" s="20" t="n">
        <x:v>4</x:v>
      </x:c>
      <x:c r="E40" s="18" t="str">
        <x:v>件</x:v>
      </x:c>
      <x:c r="F40" s="18" t="str">
        <x:v>M6 × 40</x:v>
      </x:c>
      <x:c r="G40" s="18" t="str">
        <x:v>钢</x:v>
      </x:c>
      <x:c r="H40" s="18" t="str">
        <x:v>等级/表面处理/扭矩待冻结</x:v>
      </x:c>
      <x:c r="I40" s="21" t="str"/>
      <x:c r="J40" s="22" t="str">
        <x:v>gantry44_manifest.json：Tool_M6x40；按实例计数</x:v>
      </x:c>
    </x:row>
    <x:row r="41" ht="32" customHeight="1">
      <x:c r="A41" s="23" t="str">
        <x:v>机架标准件</x:v>
      </x:c>
      <x:c r="B41" s="23" t="str">
        <x:v>Tool_M6_nut</x:v>
      </x:c>
      <x:c r="C41" s="23" t="str">
        <x:v>夹具接口螺母</x:v>
      </x:c>
      <x:c r="D41" s="24" t="n">
        <x:v>4</x:v>
      </x:c>
      <x:c r="E41" s="23" t="str">
        <x:v>件</x:v>
      </x:c>
      <x:c r="F41" s="23" t="str">
        <x:v>M6</x:v>
      </x:c>
      <x:c r="G41" s="23" t="str">
        <x:v>钢</x:v>
      </x:c>
      <x:c r="H41" s="23" t="str">
        <x:v>等级/表面处理/扭矩待冻结</x:v>
      </x:c>
      <x:c r="I41" s="21" t="str"/>
      <x:c r="J41" s="22" t="str">
        <x:v>gantry44_manifest.json：Tool_M6_nut；按实例计数</x:v>
      </x:c>
    </x:row>
    <x:row r="42" ht="32" customHeight="1">
      <x:c r="A42" s="18" t="str">
        <x:v>机架标准件</x:v>
      </x:c>
      <x:c r="B42" s="18" t="str">
        <x:v>Tool_M6_washer</x:v>
      </x:c>
      <x:c r="C42" s="18" t="str">
        <x:v>夹具接口平垫</x:v>
      </x:c>
      <x:c r="D42" s="20" t="n">
        <x:v>4</x:v>
      </x:c>
      <x:c r="E42" s="18" t="str">
        <x:v>件</x:v>
      </x:c>
      <x:c r="F42" s="18" t="str">
        <x:v>M6；几何尺寸以分件STEP为准</x:v>
      </x:c>
      <x:c r="G42" s="18" t="str">
        <x:v>钢</x:v>
      </x:c>
      <x:c r="H42" s="18" t="str">
        <x:v>等级/表面处理/扭矩待冻结</x:v>
      </x:c>
      <x:c r="I42" s="21" t="str"/>
      <x:c r="J42" s="22" t="str">
        <x:v>gantry44_manifest.json：Tool_M6_washer；按实例计数</x:v>
      </x:c>
    </x:row>
    <x:row r="43" ht="32" customHeight="1">
      <x:c r="A43" s="23" t="str">
        <x:v>接口定制</x:v>
      </x:c>
      <x:c r="B43" s="23" t="str">
        <x:v>FSL80_slot_nut</x:v>
      </x:c>
      <x:c r="C43" s="23" t="str">
        <x:v>FSL80轴向装入槽母</x:v>
      </x:c>
      <x:c r="D43" s="24" t="n">
        <x:v>22</x:v>
      </x:c>
      <x:c r="E43" s="23" t="str">
        <x:v>件</x:v>
      </x:c>
      <x:c r="F43" s="23" t="str">
        <x:v>M6，20 × 9.4 × 4 mm；厂家装入后封端</x:v>
      </x:c>
      <x:c r="G43" s="23" t="str">
        <x:v>钢</x:v>
      </x:c>
      <x:c r="H43" s="23" t="str">
        <x:v>材料/螺纹承载/扭矩待厂家确认</x:v>
      </x:c>
      <x:c r="I43" s="21" t="str"/>
      <x:c r="J43" s="22" t="str">
        <x:v>gantry44_manifest.json：FSL80_slot_nut；按实例计数</x:v>
      </x:c>
    </x:row>
    <x:row r="44" ht="32" customHeight="1">
      <x:c r="A44" s="18" t="str">
        <x:v>接口定制</x:v>
      </x:c>
      <x:c r="B44" s="18" t="str">
        <x:v>FSL60_slot_nut</x:v>
      </x:c>
      <x:c r="C44" s="18" t="str">
        <x:v>FSL60轴向装入槽母</x:v>
      </x:c>
      <x:c r="D44" s="20" t="n">
        <x:v>8</x:v>
      </x:c>
      <x:c r="E44" s="18" t="str">
        <x:v>件</x:v>
      </x:c>
      <x:c r="F44" s="18" t="str">
        <x:v>M6，长20/肩宽14.4/背宽10/厚4 mm；厂家装入</x:v>
      </x:c>
      <x:c r="G44" s="18" t="str">
        <x:v>钢</x:v>
      </x:c>
      <x:c r="H44" s="18" t="str">
        <x:v>材料/螺纹承载/扭矩待厂家确认</x:v>
      </x:c>
      <x:c r="I44" s="21" t="str"/>
      <x:c r="J44" s="22" t="str">
        <x:v>gantry44_manifest.json：FSL60_slot_nut；按实例计数</x:v>
      </x:c>
    </x:row>
    <x:row r="45" ht="32" customHeight="1">
      <x:c r="A45" s="23" t="str">
        <x:v>外购轴模组</x:v>
      </x:c>
      <x:c r="B45" s="23" t="str">
        <x:v>AX-X</x:v>
      </x:c>
      <x:c r="C45" s="23" t="str">
        <x:v>X轴成套模组</x:v>
      </x:c>
      <x:c r="D45" s="24" t="n">
        <x:v>1</x:v>
      </x:c>
      <x:c r="E45" s="23" t="str">
        <x:v>套</x:v>
      </x:c>
      <x:c r="F45" s="23" t="str">
        <x:v>FSL80 E800 10C7-BC-B60参考；工作行程700 mm；含壳体、滑台及配套电机</x:v>
      </x:c>
      <x:c r="G45" s="23" t="str">
        <x:v>原厂混合材料</x:v>
      </x:c>
      <x:c r="H45" s="23" t="str">
        <x:v>订货配置/力矩/原点限位待确认</x:v>
      </x:c>
      <x:c r="I45" s="21" t="str"/>
      <x:c r="J45" s="22" t="str">
        <x:v>FSL80 E800 10C7-BC-B60.STEP；FUYU手册v3.1</x:v>
      </x:c>
    </x:row>
    <x:row r="46" ht="32" customHeight="1">
      <x:c r="A46" s="18" t="str">
        <x:v>外购轴模组</x:v>
      </x:c>
      <x:c r="B46" s="18" t="str">
        <x:v>AX-Y</x:v>
      </x:c>
      <x:c r="C46" s="18" t="str">
        <x:v>双Y轴成套模组</x:v>
      </x:c>
      <x:c r="D46" s="20" t="n">
        <x:v>2</x:v>
      </x:c>
      <x:c r="E46" s="18" t="str">
        <x:v>套</x:v>
      </x:c>
      <x:c r="F46" s="18" t="str">
        <x:v>每套FSL80 E400参考；工作行程260 mm；两侧中心跨距1200 mm</x:v>
      </x:c>
      <x:c r="G46" s="18" t="str">
        <x:v>原厂混合材料</x:v>
      </x:c>
      <x:c r="H46" s="18" t="str">
        <x:v>双Y同步/回零/电机配置待确认</x:v>
      </x:c>
      <x:c r="I46" s="21" t="str"/>
      <x:c r="J46" s="22" t="str">
        <x:v>FSL80 E400 10C7-BC-B60.STEP；FUYU手册v3.1</x:v>
      </x:c>
    </x:row>
    <x:row r="47" ht="32" customHeight="1">
      <x:c r="A47" s="23" t="str">
        <x:v>外购轴模组</x:v>
      </x:c>
      <x:c r="B47" s="23" t="str">
        <x:v>AX-Z</x:v>
      </x:c>
      <x:c r="C47" s="23" t="str">
        <x:v>Z轴成套模组（抱闸必选）</x:v>
      </x:c>
      <x:c r="D47" s="24" t="n">
        <x:v>1</x:v>
      </x:c>
      <x:c r="E47" s="23" t="str">
        <x:v>套</x:v>
      </x:c>
      <x:c r="F47" s="23" t="str">
        <x:v>FSL60 E400参考；工作行程320 mm；订货必须带常闭失电制动</x:v>
      </x:c>
      <x:c r="G47" s="23" t="str">
        <x:v>原厂混合材料</x:v>
      </x:c>
      <x:c r="H47" s="23" t="str">
        <x:v>当前STEP未验证抱闸版；不可据此下单</x:v>
      </x:c>
      <x:c r="I47" s="21" t="str"/>
      <x:c r="J47" s="22" t="str">
        <x:v>FSL60 E400 10C7-BC-B60.STEP；FUYU手册v3.1</x:v>
      </x:c>
    </x:row>
    <x:row r="48" ht="40" customHeight="1">
      <x:c r="A48" s="18" t="str">
        <x:v>原桶成套来源</x:v>
      </x:c>
      <x:c r="B48" s="18" t="str">
        <x:v>SRC-BUCKET</x:v>
      </x:c>
      <x:c r="C48" s="18" t="str">
        <x:v>原粉桶及驱动头保留部件</x:v>
      </x:c>
      <x:c r="D48" s="20" t="n">
        <x:v>1</x:v>
      </x:c>
      <x:c r="E48" s="18" t="str">
        <x:v>套</x:v>
      </x:c>
      <x:c r="F48" s="18" t="str">
        <x:v>源有59种SLDPRT。装入时扣除原lid、dock_lock_ring、dock_lock_toggle，新增B/C件另列。</x:v>
      </x:c>
      <x:c r="G48" s="18" t="str">
        <x:v>源混合材料未冻结</x:v>
      </x:c>
      <x:c r="H48" s="18" t="str">
        <x:v>成套来源；内部驱动连接仍待验证</x:v>
      </x:c>
      <x:c r="I48" s="21" t="str"/>
      <x:c r="J48" s="22" t="str">
        <x:v>burr_mill_doser_improved.SLDASM；原桶来源与替换表</x:v>
      </x:c>
    </x:row>
    <x:row r="49" ht="32" customHeight="1">
      <x:c r="A49" s="23" t="str">
        <x:v>夹具标准件</x:v>
      </x:c>
      <x:c r="B49" s="23" t="str">
        <x:v>C-F01</x:v>
      </x:c>
      <x:c r="C49" s="23" t="str">
        <x:v>压盖圆柱头螺钉</x:v>
      </x:c>
      <x:c r="D49" s="24" t="n">
        <x:v>4</x:v>
      </x:c>
      <x:c r="E49" s="23" t="str">
        <x:v>件</x:v>
      </x:c>
      <x:c r="F49" s="23" t="str">
        <x:v>M3 × 18。</x:v>
      </x:c>
      <x:c r="G49" s="23" t="str">
        <x:v>按采购</x:v>
      </x:c>
      <x:c r="H49" s="23" t="str">
        <x:v>等级/扭矩待冻结</x:v>
      </x:c>
      <x:c r="I49" s="21" t="str"/>
      <x:c r="J49" s="22" t="str">
        <x:v>clamp_manufacturing_dimensions.json；C-F01_cap_M3x18_0、C-F01_cap_M3x18_1、C-F01_cap_M3x18_2、C-F01_cap_M3x18_3</x:v>
      </x:c>
    </x:row>
    <x:row r="50" ht="32" customHeight="1">
      <x:c r="A50" s="18" t="str">
        <x:v>夹具标准件</x:v>
      </x:c>
      <x:c r="B50" s="18" t="str">
        <x:v>C-F02</x:v>
      </x:c>
      <x:c r="C50" s="18" t="str">
        <x:v>电爪安装螺钉</x:v>
      </x:c>
      <x:c r="D50" s="20" t="n">
        <x:v>2</x:v>
      </x:c>
      <x:c r="E50" s="18" t="str">
        <x:v>件</x:v>
      </x:c>
      <x:c r="F50" s="18" t="str">
        <x:v>M3 × 10。</x:v>
      </x:c>
      <x:c r="G50" s="18" t="str">
        <x:v>按采购</x:v>
      </x:c>
      <x:c r="H50" s="18" t="str">
        <x:v>按Zimmer安装要求</x:v>
      </x:c>
      <x:c r="I50" s="21" t="str"/>
      <x:c r="J50" s="22" t="str">
        <x:v>clamp_manufacturing_dimensions.json；C-F02_GEP_M3x10_-8、C-F02_GEP_M3x10_8</x:v>
      </x:c>
    </x:row>
    <x:row r="51" ht="32" customHeight="1">
      <x:c r="A51" s="23" t="str">
        <x:v>夹具标准件</x:v>
      </x:c>
      <x:c r="B51" s="23" t="str">
        <x:v>C-F03</x:v>
      </x:c>
      <x:c r="C51" s="23" t="str">
        <x:v>电爪定位套</x:v>
      </x:c>
      <x:c r="D51" s="24" t="n">
        <x:v>2</x:v>
      </x:c>
      <x:c r="E51" s="23" t="str">
        <x:v>件</x:v>
      </x:c>
      <x:c r="F51" s="23" t="str">
        <x:v>Ø5 / 内Ø3.2 × 2.4 mm；两面各嵌1.2。</x:v>
      </x:c>
      <x:c r="G51" s="23" t="str">
        <x:v>按采购</x:v>
      </x:c>
      <x:c r="H51" s="23" t="str">
        <x:v>订货确认是否随电爪供货</x:v>
      </x:c>
      <x:c r="I51" s="21" t="str"/>
      <x:c r="J51" s="22" t="str">
        <x:v>clamp_manufacturing_dimensions.json；C-F03_GEP_D5_sleeve_-8、C-F03_GEP_D5_sleeve_8</x:v>
      </x:c>
    </x:row>
    <x:row r="52" ht="32" customHeight="1">
      <x:c r="A52" s="18" t="str">
        <x:v>夹具标准件</x:v>
      </x:c>
      <x:c r="B52" s="18" t="str">
        <x:v>C-F07</x:v>
      </x:c>
      <x:c r="C52" s="18" t="str">
        <x:v>平端内六角紧定螺钉</x:v>
      </x:c>
      <x:c r="D52" s="20" t="n">
        <x:v>1</x:v>
      </x:c>
      <x:c r="E52" s="18" t="str">
        <x:v>件</x:v>
      </x:c>
      <x:c r="F52" s="18" t="str">
        <x:v>ISO4026 M6 × 12；内六角3；进入原机头径向孔外段。</x:v>
      </x:c>
      <x:c r="G52" s="18" t="str">
        <x:v>按采购</x:v>
      </x:c>
      <x:c r="H52" s="18" t="str">
        <x:v>等级/防松扭矩待冻结</x:v>
      </x:c>
      <x:c r="I52" s="21" t="str"/>
      <x:c r="J52" s="22" t="str">
        <x:v>clamp_manufacturing_dimensions.json；C-F07_ISO4026_M6x12_anti_rotation</x:v>
      </x:c>
    </x:row>
    <x:row r="53" ht="32" customHeight="1">
      <x:c r="A53" s="23" t="str">
        <x:v>夹具定制</x:v>
      </x:c>
      <x:c r="B53" s="23" t="str">
        <x:v>C-A01</x:v>
      </x:c>
      <x:c r="C53" s="23" t="str">
        <x:v>头盘一体托座及电爪承载后背</x:v>
      </x:c>
      <x:c r="D53" s="24" t="n">
        <x:v>1</x:v>
      </x:c>
      <x:c r="E53" s="23" t="str">
        <x:v>件</x:v>
      </x:c>
      <x:c r="F53" s="23" t="str">
        <x:v>内Ø90.2定位环，外Ø100；后面Y90；4×Ø6.6孔距44×55。</x:v>
      </x:c>
      <x:c r="G53" s="23" t="str">
        <x:v>6061-T6候选</x:v>
      </x:c>
      <x:c r="H53" s="23" t="str">
        <x:v>名义几何；制造公差待冻结</x:v>
      </x:c>
      <x:c r="I53" s="21" t="str"/>
      <x:c r="J53" s="22" t="str">
        <x:v>clamp_manufacturing_dimensions.json；C-A01_head_capture_and_rear_bracket</x:v>
      </x:c>
    </x:row>
    <x:row r="54" ht="32" customHeight="1">
      <x:c r="A54" s="18" t="str">
        <x:v>夹具定制</x:v>
      </x:c>
      <x:c r="B54" s="18" t="str">
        <x:v>C-A02</x:v>
      </x:c>
      <x:c r="C54" s="18" t="str">
        <x:v>头盘外缘压盖</x:v>
      </x:c>
      <x:c r="D54" s="20" t="n">
        <x:v>1</x:v>
      </x:c>
      <x:c r="E54" s="18" t="str">
        <x:v>件</x:v>
      </x:c>
      <x:c r="F54" s="18" t="str">
        <x:v>内Ø78/外Ø100×5；4×Ø3.2孔PCD95。</x:v>
      </x:c>
      <x:c r="G54" s="18" t="str">
        <x:v>6061-T6候选</x:v>
      </x:c>
      <x:c r="H54" s="18" t="str">
        <x:v>名义几何；制造公差待冻结</x:v>
      </x:c>
      <x:c r="I54" s="21" t="str"/>
      <x:c r="J54" s="22" t="str">
        <x:v>clamp_manufacturing_dimensions.json；C-A02_head_capture_cap</x:v>
      </x:c>
    </x:row>
    <x:row r="55" ht="32" customHeight="1">
      <x:c r="A55" s="23" t="str">
        <x:v>外购电爪</x:v>
      </x:c>
      <x:c r="B55" s="23" t="str">
        <x:v>C-P01</x:v>
      </x:c>
      <x:c r="C55" s="23" t="str">
        <x:v>电动平行夹爪成套</x:v>
      </x:c>
      <x:c r="D55" s="24" t="n">
        <x:v>1</x:v>
      </x:c>
      <x:c r="E55" s="23" t="str">
        <x:v>套</x:v>
      </x:c>
      <x:c r="F55" s="23" t="str">
        <x:v>Zimmer GEP2006IL-03-B；含本体与两原爪；每爪行程6 mm。</x:v>
      </x:c>
      <x:c r="G55" s="23" t="str">
        <x:v>按采购</x:v>
      </x:c>
      <x:c r="H55" s="23" t="str">
        <x:v>二维接口建模；型号/负载最终核对</x:v>
      </x:c>
      <x:c r="I55" s="21" t="str"/>
      <x:c r="J55" s="22" t="str">
        <x:v>clamp_manufacturing_dimensions.json；C-P01_GEP2006IL03_2D_INTERFACE（C-P03两原爪随套，不重复采购）</x:v>
      </x:c>
    </x:row>
    <x:row r="56" ht="32" customHeight="1">
      <x:c r="A56" s="18" t="str">
        <x:v>外购待定</x:v>
      </x:c>
      <x:c r="B56" s="18" t="str">
        <x:v>C-P02</x:v>
      </x:c>
      <x:c r="C56" s="18" t="str">
        <x:v>桶在位M5探头</x:v>
      </x:c>
      <x:c r="D56" s="20" t="n">
        <x:v>1</x:v>
      </x:c>
      <x:c r="E56" s="18" t="str">
        <x:v>件</x:v>
      </x:c>
      <x:c r="F56" s="18" t="str">
        <x:v>CAD仅包络。端面中心线距桶2.104 mm，最小边缘间隙0.960 mm。</x:v>
      </x:c>
      <x:c r="G56" s="18" t="str">
        <x:v>按采购</x:v>
      </x:c>
      <x:c r="H56" s="18" t="str">
        <x:v>实际有效检测距离/型号未定</x:v>
      </x:c>
      <x:c r="I56" s="21" t="str"/>
      <x:c r="J56" s="22" t="str">
        <x:v>clamp_manufacturing_dimensions.json；C-P02_M5_presence_sensor_PROCUREMENT_ENVELOPE</x:v>
      </x:c>
    </x:row>
    <x:row r="57" ht="32" customHeight="1">
      <x:c r="A57" s="23" t="str">
        <x:v>夹具标准件</x:v>
      </x:c>
      <x:c r="B57" s="23" t="str">
        <x:v>C-F04</x:v>
      </x:c>
      <x:c r="C57" s="23" t="str">
        <x:v>M5传感器锁母</x:v>
      </x:c>
      <x:c r="D57" s="24" t="n">
        <x:v>2</x:v>
      </x:c>
      <x:c r="E57" s="23" t="str">
        <x:v>件</x:v>
      </x:c>
      <x:c r="F57" s="23" t="str">
        <x:v>M5；配最终传感器外螺纹。</x:v>
      </x:c>
      <x:c r="G57" s="23" t="str">
        <x:v>按采购</x:v>
      </x:c>
      <x:c r="H57" s="23" t="str">
        <x:v>订货确认是否随传感器供货</x:v>
      </x:c>
      <x:c r="I57" s="21" t="str"/>
      <x:c r="J57" s="22" t="str">
        <x:v>clamp_manufacturing_dimensions.json；C-F04_M5_sensor_nut_front、C-F04_M5_sensor_nut_rear</x:v>
      </x:c>
    </x:row>
    <x:row r="58" ht="32" customHeight="1">
      <x:c r="A58" s="18" t="str">
        <x:v>夹具定制</x:v>
      </x:c>
      <x:c r="B58" s="18" t="str">
        <x:v>C-A03_positive_capture_finger_-1</x:v>
      </x:c>
      <x:c r="C58" s="18" t="str">
        <x:v>正向承托夹指（左）</x:v>
      </x:c>
      <x:c r="D58" s="20" t="n">
        <x:v>1</x:v>
      </x:c>
      <x:c r="E58" s="18" t="str">
        <x:v>件</x:v>
      </x:c>
      <x:c r="F58" s="18" t="str">
        <x:v>两件镜像；闭合内弧Ø44.6，托Ø50法兰；每爪开6 mm。</x:v>
      </x:c>
      <x:c r="G58" s="18" t="str">
        <x:v>6061-T6候选</x:v>
      </x:c>
      <x:c r="H58" s="18" t="str">
        <x:v>指长/偏心负载待Zimmer确认</x:v>
      </x:c>
      <x:c r="I58" s="21" t="str"/>
      <x:c r="J58" s="22" t="str">
        <x:v>clamp_manufacturing_dimensions.json；C-A03_positive_capture_finger_-1</x:v>
      </x:c>
    </x:row>
    <x:row r="59" ht="32" customHeight="1">
      <x:c r="A59" s="23" t="str">
        <x:v>夹具标准件</x:v>
      </x:c>
      <x:c r="B59" s="23" t="str">
        <x:v>C-F05</x:v>
      </x:c>
      <x:c r="C59" s="23" t="str">
        <x:v>夹指安装螺钉</x:v>
      </x:c>
      <x:c r="D59" s="24" t="n">
        <x:v>4</x:v>
      </x:c>
      <x:c r="E59" s="23" t="str">
        <x:v>件</x:v>
      </x:c>
      <x:c r="F59" s="23" t="str">
        <x:v>M3 × 10，每指2颗。</x:v>
      </x:c>
      <x:c r="G59" s="23" t="str">
        <x:v>按采购</x:v>
      </x:c>
      <x:c r="H59" s="23" t="str">
        <x:v>按Zimmer安装要求</x:v>
      </x:c>
      <x:c r="I59" s="21" t="str"/>
      <x:c r="J59" s="22" t="str">
        <x:v>clamp_manufacturing_dimensions.json；C-F05_finger_M3x10_-1_0、C-F05_finger_M3x10_-1_1、C-F05_finger_M3x10_1_0、C-F05_finger_M3x10_1_1</x:v>
      </x:c>
    </x:row>
    <x:row r="60" ht="32" customHeight="1">
      <x:c r="A60" s="18" t="str">
        <x:v>夹具标准件</x:v>
      </x:c>
      <x:c r="B60" s="18" t="str">
        <x:v>C-F06</x:v>
      </x:c>
      <x:c r="C60" s="18" t="str">
        <x:v>夹指定位套</x:v>
      </x:c>
      <x:c r="D60" s="20" t="n">
        <x:v>4</x:v>
      </x:c>
      <x:c r="E60" s="18" t="str">
        <x:v>件</x:v>
      </x:c>
      <x:c r="F60" s="18" t="str">
        <x:v>Ø5 / 内Ø3.2 × 2.4 mm，每指2件。</x:v>
      </x:c>
      <x:c r="G60" s="18" t="str">
        <x:v>按采购</x:v>
      </x:c>
      <x:c r="H60" s="18" t="str">
        <x:v>订货确认是否随电爪供货</x:v>
      </x:c>
      <x:c r="I60" s="21" t="str"/>
      <x:c r="J60" s="22" t="str">
        <x:v>clamp_manufacturing_dimensions.json；C-F06_finger_D5_sleeve_-1_0、C-F06_finger_D5_sleeve_-1_1、C-F06_finger_D5_sleeve_1_0、C-F06_finger_D5_sleeve_1_1</x:v>
      </x:c>
    </x:row>
    <x:row r="61" ht="32" customHeight="1">
      <x:c r="A61" s="23" t="str">
        <x:v>夹具定制</x:v>
      </x:c>
      <x:c r="B61" s="23" t="str">
        <x:v>C-A03_positive_capture_finger_1</x:v>
      </x:c>
      <x:c r="C61" s="23" t="str">
        <x:v>正向承托夹指（右）</x:v>
      </x:c>
      <x:c r="D61" s="24" t="n">
        <x:v>1</x:v>
      </x:c>
      <x:c r="E61" s="23" t="str">
        <x:v>件</x:v>
      </x:c>
      <x:c r="F61" s="23" t="str">
        <x:v>两件镜像；闭合内弧Ø44.6，托Ø50法兰；每爪开6 mm。</x:v>
      </x:c>
      <x:c r="G61" s="23" t="str">
        <x:v>6061-T6候选</x:v>
      </x:c>
      <x:c r="H61" s="23" t="str">
        <x:v>指长/偏心负载待Zimmer确认</x:v>
      </x:c>
      <x:c r="I61" s="21" t="str"/>
      <x:c r="J61" s="22" t="str">
        <x:v>clamp_manufacturing_dimensions.json；C-A03_positive_capture_finger_1</x:v>
      </x:c>
    </x:row>
    <x:row r="62" ht="32" customHeight="1">
      <x:c r="A62" s="18" t="str">
        <x:v>随桶配套</x:v>
      </x:c>
      <x:c r="B62" s="18" t="str">
        <x:v>B-A02</x:v>
      </x:c>
      <x:c r="C62" s="18" t="str">
        <x:v>随桶拉柱</x:v>
      </x:c>
      <x:c r="D62" s="20" t="n">
        <x:v>2</x:v>
      </x:c>
      <x:c r="E62" s="18" t="str">
        <x:v>件</x:v>
      </x:c>
      <x:c r="F62" s="18" t="str">
        <x:v>Ø6 × 48.5825；上下M3深10；扳手对边5。</x:v>
      </x:c>
      <x:c r="G62" s="18" t="str">
        <x:v>304不锈钢候选</x:v>
      </x:c>
      <x:c r="H62" s="18" t="str">
        <x:v>304候选；公差/防松待冻结</x:v>
      </x:c>
      <x:c r="I62" s="21" t="str"/>
      <x:c r="J62" s="22" t="str">
        <x:v>clamp_manufacturing_dimensions.json；B-A02_bucket_tie_post_-1、B-A02_bucket_tie_post_1</x:v>
      </x:c>
    </x:row>
    <x:row r="63" ht="32" customHeight="1">
      <x:c r="A63" s="23" t="str">
        <x:v>随桶配套</x:v>
      </x:c>
      <x:c r="B63" s="23" t="str">
        <x:v>B-A03</x:v>
      </x:c>
      <x:c r="C63" s="23" t="str">
        <x:v>随桶法兰保持托脚</x:v>
      </x:c>
      <x:c r="D63" s="24" t="n">
        <x:v>2</x:v>
      </x:c>
      <x:c r="E63" s="23" t="str">
        <x:v>件</x:v>
      </x:c>
      <x:c r="F63" s="23" t="str">
        <x:v>10 × 9.7 × 4 mm；Ø3.2通孔；两件镜像，正向托法兰。</x:v>
      </x:c>
      <x:c r="G63" s="23" t="str">
        <x:v>6061-T6候选</x:v>
      </x:c>
      <x:c r="H63" s="23" t="str">
        <x:v>名义几何；制造公差待冻结</x:v>
      </x:c>
      <x:c r="I63" s="21" t="str"/>
      <x:c r="J63" s="22" t="str">
        <x:v>clamp_manufacturing_dimensions.json；B-A03_bucket_retention_foot_-1、B-A03_bucket_retention_foot_1</x:v>
      </x:c>
    </x:row>
    <x:row r="64" ht="32" customHeight="1">
      <x:c r="A64" s="18" t="str">
        <x:v>随桶配套</x:v>
      </x:c>
      <x:c r="B64" s="18" t="str">
        <x:v>B-F01</x:v>
      </x:c>
      <x:c r="C64" s="18" t="str">
        <x:v>上盖齐平沉头螺钉</x:v>
      </x:c>
      <x:c r="D64" s="20" t="n">
        <x:v>2</x:v>
      </x:c>
      <x:c r="E64" s="18" t="str">
        <x:v>件</x:v>
      </x:c>
      <x:c r="F64" s="18" t="str">
        <x:v>M3 × 10，90°沉头，顶面不得高于原盖贴合面。</x:v>
      </x:c>
      <x:c r="G64" s="18" t="str">
        <x:v>按采购</x:v>
      </x:c>
      <x:c r="H64" s="18" t="str">
        <x:v>材料/防松扭矩待冻结</x:v>
      </x:c>
      <x:c r="I64" s="21" t="str"/>
      <x:c r="J64" s="22" t="str">
        <x:v>clamp_manufacturing_dimensions.json；B-F01_flush_M3x10_-1、B-F01_flush_M3x10_1</x:v>
      </x:c>
    </x:row>
    <x:row r="65" ht="32" customHeight="1">
      <x:c r="A65" s="23" t="str">
        <x:v>随桶配套</x:v>
      </x:c>
      <x:c r="B65" s="23" t="str">
        <x:v>B-F02</x:v>
      </x:c>
      <x:c r="C65" s="23" t="str">
        <x:v>拉柱底部圆柱头螺钉</x:v>
      </x:c>
      <x:c r="D65" s="24" t="n">
        <x:v>2</x:v>
      </x:c>
      <x:c r="E65" s="23" t="str">
        <x:v>件</x:v>
      </x:c>
      <x:c r="F65" s="23" t="str">
        <x:v>M3 × 12。</x:v>
      </x:c>
      <x:c r="G65" s="23" t="str">
        <x:v>按采购</x:v>
      </x:c>
      <x:c r="H65" s="23" t="str">
        <x:v>材料/防松扭矩待冻结</x:v>
      </x:c>
      <x:c r="I65" s="21" t="str"/>
      <x:c r="J65" s="22" t="str">
        <x:v>clamp_manufacturing_dimensions.json；B-F02_bottom_M3x12_-1、B-F02_bottom_M3x12_1</x:v>
      </x:c>
    </x:row>
    <x:row r="66" ht="32" customHeight="1">
      <x:c r="A66" s="18" t="str">
        <x:v>随桶配套</x:v>
      </x:c>
      <x:c r="B66" s="18" t="str">
        <x:v>B-A01</x:v>
      </x:c>
      <x:c r="C66" s="18" t="str">
        <x:v>AUTO-SWAP派生上盖</x:v>
      </x:c>
      <x:c r="D66" s="20" t="n">
        <x:v>1</x:v>
      </x:c>
      <x:c r="E66" s="18" t="str">
        <x:v>件</x:v>
      </x:c>
      <x:c r="F66" s="18" t="str">
        <x:v>保留源内型/锥面/气孔；新增±Y外耳与2×M3沉头连接。</x:v>
      </x:c>
      <x:c r="G66" s="18" t="str">
        <x:v>原粉路材料未冻结</x:v>
      </x:c>
      <x:c r="H66" s="18" t="str">
        <x:v>替换原lid；粉路材料待确认</x:v>
      </x:c>
      <x:c r="I66" s="21" t="str"/>
      <x:c r="J66" s="22" t="str">
        <x:v>clamp_manufacturing_dimensions.json；B-A01_lid_AUTO_SWAP_derived</x:v>
      </x:c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</x:sheetData>
  <x:conditionalFormatting sqref="H10:H66">
    <x:cfRule type="containsText" dxfId="0" priority="1" operator="containsText" text="未定"/>
    <x:cfRule type="containsText" dxfId="1" priority="2" operator="containsText" text="未验证"/>
  </x:conditionalFormatting>
  <x:pageMargins left="0.7" right="0.7" top="0.75" bottom="0.75" header="0.3" footer="0.3"/>
  <x:tableParts count="1">
    <x:tablePart xmlns:r="http://schemas.openxmlformats.org/officeDocument/2006/relationships" r:id="R45afa99d327141e7"/>
  </x:tableParts>
</x:worksheet>
</file>

<file path=xl/worksheets/sheet2.xml><?xml version="1.0" encoding="utf-8"?>
<x:worksheet xmlns:x="http://schemas.openxmlformats.org/spreadsheetml/2006/main">
  <x:sheetPr>
    <x:tabColor rgb="FF183B56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29.75" hidden="0" customWidth="1"/>
    <x:col min="3" max="3" width="23.75" hidden="0" customWidth="1"/>
    <x:col min="4" max="4" width="6" hidden="0" customWidth="1"/>
    <x:col min="5" max="5" width="5.25" hidden="0" customWidth="1"/>
    <x:col min="6" max="6" width="48.75" hidden="0" customWidth="1"/>
    <x:col min="7" max="7" width="18.75" hidden="0" customWidth="1"/>
    <x:col min="8" max="8" width="25" hidden="0" customWidth="1"/>
    <x:col min="9" max="9" width="2.75" hidden="0" customWidth="1"/>
    <x:col min="10" max="10" width="41.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独立单桶停车座 BOM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6" t="str">
        <x:v>下表为一个停车座的独立物料，不装入本次龙门架总装。自动释放前必须先由停车座承载粉桶。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6" t="str">
        <x:v>停车座位置、安装基础及4颗底座安装螺钉的长度/配套螺母待安装现场确定，不虚填。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1" customHeight="1">
      <x:c r="A7" s="15" t="str">
        <x:v>分类</x:v>
      </x:c>
      <x:c r="B7" s="16" t="str">
        <x:v>编号</x:v>
      </x:c>
      <x:c r="C7" s="16" t="str">
        <x:v>名称</x:v>
      </x:c>
      <x:c r="D7" s="16" t="str">
        <x:v>数量</x:v>
      </x:c>
      <x:c r="E7" s="16" t="str">
        <x:v>单位</x:v>
      </x:c>
      <x:c r="F7" s="16" t="str">
        <x:v>规格与接口（mm）</x:v>
      </x:c>
      <x:c r="G7" s="16" t="str">
        <x:v>材料</x:v>
      </x:c>
      <x:c r="H7" s="17" t="str">
        <x:v>制造/采购状态</x:v>
      </x:c>
      <x:c r="I7" s="21" t="str"/>
      <x:c r="J7" s="2" t="str">
        <x:v>来源与模型编号</x:v>
      </x:c>
    </x:row>
    <x:row r="8" ht="32" customHeight="1">
      <x:c r="A8" s="18" t="str">
        <x:v>停车座定制</x:v>
      </x:c>
      <x:c r="B8" s="18" t="str">
        <x:v>D-A03</x:v>
      </x:c>
      <x:c r="C8" s="18" t="str">
        <x:v>停车座立柱</x:v>
      </x:c>
      <x:c r="D8" s="20" t="n">
        <x:v>2</x:v>
      </x:c>
      <x:c r="E8" s="18" t="str">
        <x:v>件</x:v>
      </x:c>
      <x:c r="F8" s="18" t="str">
        <x:v>Ø12 × 53.3556；上下M5螺纹。</x:v>
      </x:c>
      <x:c r="G8" s="18" t="str">
        <x:v>6061-T6候选</x:v>
      </x:c>
      <x:c r="H8" s="18" t="str">
        <x:v>名义几何；公差待冻结</x:v>
      </x:c>
      <x:c r="I8" s="21" t="str"/>
      <x:c r="J8" s="22" t="str">
        <x:v>clamp_manufacturing_dimensions.json；D-A03_support_post_-1、D-A03_support_post_1</x:v>
      </x:c>
    </x:row>
    <x:row r="9" ht="32" customHeight="1">
      <x:c r="A9" s="23" t="str">
        <x:v>停车座标准件</x:v>
      </x:c>
      <x:c r="B9" s="23" t="str">
        <x:v>D-F01</x:v>
      </x:c>
      <x:c r="C9" s="23" t="str">
        <x:v>停车座顶部圆柱头螺钉</x:v>
      </x:c>
      <x:c r="D9" s="24" t="n">
        <x:v>2</x:v>
      </x:c>
      <x:c r="E9" s="23" t="str">
        <x:v>件</x:v>
      </x:c>
      <x:c r="F9" s="23" t="str">
        <x:v>M5 × 16。</x:v>
      </x:c>
      <x:c r="G9" s="23" t="str">
        <x:v>按采购</x:v>
      </x:c>
      <x:c r="H9" s="23" t="str">
        <x:v>等级/扭矩待冻结</x:v>
      </x:c>
      <x:c r="I9" s="21" t="str"/>
      <x:c r="J9" s="22" t="str">
        <x:v>clamp_manufacturing_dimensions.json；D-F01_top_M5x16_-1、D-F01_top_M5x16_1</x:v>
      </x:c>
    </x:row>
    <x:row r="10" ht="32" customHeight="1">
      <x:c r="A10" s="18" t="str">
        <x:v>停车座标准件</x:v>
      </x:c>
      <x:c r="B10" s="18" t="str">
        <x:v>D-F02</x:v>
      </x:c>
      <x:c r="C10" s="18" t="str">
        <x:v>停车座底部沉孔螺钉</x:v>
      </x:c>
      <x:c r="D10" s="20" t="n">
        <x:v>2</x:v>
      </x:c>
      <x:c r="E10" s="18" t="str">
        <x:v>件</x:v>
      </x:c>
      <x:c r="F10" s="18" t="str">
        <x:v>M5 × 16圆柱头；底板沉孔内，不得凸出底面。</x:v>
      </x:c>
      <x:c r="G10" s="18" t="str">
        <x:v>按采购</x:v>
      </x:c>
      <x:c r="H10" s="18" t="str">
        <x:v>等级/扭矩待冻结</x:v>
      </x:c>
      <x:c r="I10" s="21" t="str"/>
      <x:c r="J10" s="22" t="str">
        <x:v>clamp_manufacturing_dimensions.json；D-F02_bottom_M5x16_-1、D-F02_bottom_M5x16_1</x:v>
      </x:c>
    </x:row>
    <x:row r="11" ht="32" customHeight="1">
      <x:c r="A11" s="23" t="str">
        <x:v>停车座定制</x:v>
      </x:c>
      <x:c r="B11" s="23" t="str">
        <x:v>D-A01</x:v>
      </x:c>
      <x:c r="C11" s="23" t="str">
        <x:v>独立停车底板</x:v>
      </x:c>
      <x:c r="D11" s="24" t="n">
        <x:v>1</x:v>
      </x:c>
      <x:c r="E11" s="23" t="str">
        <x:v>件</x:v>
      </x:c>
      <x:c r="F11" s="23" t="str">
        <x:v>100 × 90 × 8；4×Ø6.6安装孔，中心(±40,±32)。</x:v>
      </x:c>
      <x:c r="G11" s="23" t="str">
        <x:v>6061-T6候选</x:v>
      </x:c>
      <x:c r="H11" s="23" t="str">
        <x:v>名义几何；安装位置另定</x:v>
      </x:c>
      <x:c r="I11" s="21" t="str"/>
      <x:c r="J11" s="22" t="str">
        <x:v>clamp_manufacturing_dimensions.json；D-A01_dock_base</x:v>
      </x:c>
    </x:row>
    <x:row r="12" ht="32" customHeight="1">
      <x:c r="A12" s="18" t="str">
        <x:v>停车座定制</x:v>
      </x:c>
      <x:c r="B12" s="18" t="str">
        <x:v>D-A02</x:v>
      </x:c>
      <x:c r="C12" s="18" t="str">
        <x:v>停车法兰承托座</x:v>
      </x:c>
      <x:c r="D12" s="20" t="n">
        <x:v>1</x:v>
      </x:c>
      <x:c r="E12" s="18" t="str">
        <x:v>件</x:v>
      </x:c>
      <x:c r="F12" s="18" t="str">
        <x:v>内Ø44.4/外Ø70×6；托原Ø56下法兰；3×Ø6避螺钉头。</x:v>
      </x:c>
      <x:c r="G12" s="18" t="str">
        <x:v>6061-T6候选</x:v>
      </x:c>
      <x:c r="H12" s="18" t="str">
        <x:v>名义几何；公差待冻结</x:v>
      </x:c>
      <x:c r="I12" s="21" t="str"/>
      <x:c r="J12" s="22" t="str">
        <x:v>clamp_manufacturing_dimensions.json；D-A02_flange_support_seat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</x:sheetData>
  <x:conditionalFormatting sqref="H8:H12">
    <x:cfRule type="containsText" dxfId="2" priority="1" operator="containsText" text="未定"/>
    <x:cfRule type="containsText" dxfId="3" priority="2" operator="containsText" text="未验证"/>
  </x:conditionalFormatting>
  <x:pageMargins left="0.7" right="0.7" top="0.75" bottom="0.75" header="0.3" footer="0.3"/>
  <x:tableParts count="1">
    <x:tablePart xmlns:r="http://schemas.openxmlformats.org/officeDocument/2006/relationships" r:id="Rb1ba222bd47e45ca"/>
  </x:tableParts>
</x:worksheet>
</file>

<file path=xl/worksheets/sheet3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.75" hidden="0" customWidth="1"/>
    <x:col min="2" max="2" width="25" hidden="0" customWidth="1"/>
    <x:col min="3" max="3" width="22.5" hidden="0" customWidth="1"/>
    <x:col min="4" max="4" width="9.380000114440918" hidden="0" customWidth="1"/>
    <x:col min="5" max="5" width="51.25" hidden="0" customWidth="1"/>
    <x:col min="6" max="6" width="37.5" hidden="0" customWidth="1"/>
    <x:col min="7" max="7" width="32.5" hidden="0" customWidth="1"/>
    <x:col min="8" max="8" width="22.5" hidden="0" customWidth="1"/>
    <x:col min="9" max="9" width="2.75" hidden="0" customWidth="1"/>
    <x:col min="10" max="10" width="4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制造前需要冻结的采购与验收项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6" t="str">
        <x:v>本表是BOM采购状态补充，已有编号不重复计数；新增未定项数量留空，不虚构品牌和型号。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6" t="str">
        <x:v>供应商答复填入J列。未获得真实型号和接口图前，相关几何不得标记为已验证。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1" customHeight="1">
      <x:c r="A7" s="27" t="str">
        <x:v>编号</x:v>
      </x:c>
      <x:c r="B7" s="27" t="str">
        <x:v>对应BOM</x:v>
      </x:c>
      <x:c r="C7" s="27" t="str">
        <x:v>功能项目</x:v>
      </x:c>
      <x:c r="D7" s="27" t="str">
        <x:v>要求</x:v>
      </x:c>
      <x:c r="E7" s="27" t="str">
        <x:v>必须确认的参数</x:v>
      </x:c>
      <x:c r="F7" s="27" t="str">
        <x:v>当前缺口</x:v>
      </x:c>
      <x:c r="G7" s="27" t="str">
        <x:v>接口/验收约束</x:v>
      </x:c>
      <x:c r="H7" s="27" t="str">
        <x:v>依据</x:v>
      </x:c>
      <x:c r="I7" s="2" t="str"/>
      <x:c r="J7" s="29" t="str">
        <x:v>供应商答复</x:v>
      </x:c>
    </x:row>
    <x:row r="8" ht="68" customHeight="1">
      <x:c r="A8" s="18" t="str">
        <x:v>P01</x:v>
      </x:c>
      <x:c r="B8" s="18" t="str">
        <x:v>AX-Z（不另计套数）</x:v>
      </x:c>
      <x:c r="C8" s="18" t="str">
        <x:v>Z轴常闭失电抱闸</x:v>
      </x:c>
      <x:c r="D8" s="18" t="str">
        <x:v>必选</x:v>
      </x:c>
      <x:c r="E8" s="18" t="str">
        <x:v>制动器或抱闸电机真实外形、失电保持力矩、额定负载和制动接线</x:v>
      </x:c>
      <x:c r="F8" s="18" t="str">
        <x:v>缺厂家抱闸版图纸及断电实测</x:v>
      </x:c>
      <x:c r="G8" s="18" t="str">
        <x:v>匹配Z整套配置</x:v>
      </x:c>
      <x:c r="H8" s="18" t="str">
        <x:v>需求G4；axis_module_interfaces.json</x:v>
      </x:c>
      <x:c r="I8" s="2"/>
      <x:c r="J8" s="28"/>
    </x:row>
    <x:row r="9" ht="68" customHeight="1">
      <x:c r="A9" s="18" t="str">
        <x:v>P02</x:v>
      </x:c>
      <x:c r="B9" s="18" t="str">
        <x:v>AX-Y（不另计模组）</x:v>
      </x:c>
      <x:c r="C9" s="18" t="str">
        <x:v>双Y同步与独立回零</x:v>
      </x:c>
      <x:c r="D9" s="18" t="str">
        <x:v>必选</x:v>
      </x:c>
      <x:c r="E9" s="18" t="str">
        <x:v>闭环反馈、龙门校正、故障停机与回零策略；厂家决定具体电气配置</x:v>
      </x:c>
      <x:c r="F9" s="18" t="str">
        <x:v>缺同步控制方案及带载验收</x:v>
      </x:c>
      <x:c r="G9" s="18" t="str">
        <x:v>不得仅给两个电机相同脉冲</x:v>
      </x:c>
      <x:c r="H9" s="18" t="str">
        <x:v>需求G1/G3；gantry_reference_audit.json</x:v>
      </x:c>
      <x:c r="I9" s="2"/>
      <x:c r="J9" s="28"/>
    </x:row>
    <x:row r="10" ht="68" customHeight="1">
      <x:c r="A10" s="18" t="str">
        <x:v>P03</x:v>
      </x:c>
      <x:c r="B10" s="18" t="str">
        <x:v>新增电气成套</x:v>
      </x:c>
      <x:c r="C10" s="18" t="str">
        <x:v>电机驱动器与运动控制器</x:v>
      </x:c>
      <x:c r="D10" s="18" t="str">
        <x:v>必选</x:v>
      </x:c>
      <x:c r="E10" s="18" t="str">
        <x:v>按X、双Y、Z及原桶电机的最终配置统一匹配；数量与型号暂无</x:v>
      </x:c>
      <x:c r="F10" s="18" t="str">
        <x:v>缺轴电机选型/电气系统定义</x:v>
      </x:c>
      <x:c r="G10" s="18" t="str">
        <x:v>热源远离天平W</x:v>
      </x:c>
      <x:c r="H10" s="18" t="str">
        <x:v>需求G6</x:v>
      </x:c>
      <x:c r="I10" s="2"/>
      <x:c r="J10" s="28"/>
    </x:row>
    <x:row r="11" ht="68" customHeight="1">
      <x:c r="A11" s="18" t="str">
        <x:v>P04</x:v>
      </x:c>
      <x:c r="B11" s="18" t="str">
        <x:v>C-P01（已计1套）</x:v>
      </x:c>
      <x:c r="C11" s="18" t="str">
        <x:v>GEP夹爪采购与IO-Link</x:v>
      </x:c>
      <x:c r="D11" s="18" t="str">
        <x:v>必选</x:v>
      </x:c>
      <x:c r="E11" s="18" t="str">
        <x:v>核对GEP2006IL-03-B；每爪6 mm；包括两原爪，定位套/螺钉供货范围需确认</x:v>
      </x:c>
      <x:c r="F11" s="18" t="str">
        <x:v>缺指长定义/偏心力矩确认</x:v>
      </x:c>
      <x:c r="G11" s="18" t="str">
        <x:v>每指CAD14.588 g，空间最远59.380 mm，仅几何参考</x:v>
      </x:c>
      <x:c r="H11" s="18" t="str">
        <x:v>Zimmer官方二维接口；clamp_manufacturing_dimensions.json</x:v>
      </x:c>
      <x:c r="I11" s="2"/>
      <x:c r="J11" s="28"/>
    </x:row>
    <x:row r="12" ht="68" customHeight="1">
      <x:c r="A12" s="18" t="str">
        <x:v>P05</x:v>
      </x:c>
      <x:c r="B12" s="18" t="str">
        <x:v>C-P02（已计1件）</x:v>
      </x:c>
      <x:c r="C12" s="18" t="str">
        <x:v>桶在位M5传感器</x:v>
      </x:c>
      <x:c r="D12" s="18" t="str">
        <x:v>必选</x:v>
      </x:c>
      <x:c r="E12" s="18" t="str">
        <x:v>最终型号取决于桶材料、有效检测距离、粉尘及接线；外形仅采购包络</x:v>
      </x:c>
      <x:c r="F12" s="18" t="str">
        <x:v>中心线间隙2.104 mm；不能默认1 mm探头能检测</x:v>
      </x:c>
      <x:c r="G12" s="18" t="str">
        <x:v>必须与爪位置形成双条件确认</x:v>
      </x:c>
      <x:c r="H12" s="18" t="str">
        <x:v>clamp_manufacturing_dimensions.json</x:v>
      </x:c>
      <x:c r="I12" s="2"/>
      <x:c r="J12" s="28"/>
    </x:row>
    <x:row r="13" ht="68" customHeight="1">
      <x:c r="A13" s="18" t="str">
        <x:v>P06</x:v>
      </x:c>
      <x:c r="B13" s="18" t="str">
        <x:v>新增电气成套</x:v>
      </x:c>
      <x:c r="C13" s="18" t="str">
        <x:v>原点、限位与故障检测</x:v>
      </x:c>
      <x:c r="D13" s="18" t="str">
        <x:v>必选</x:v>
      </x:c>
      <x:c r="E13" s="18" t="str">
        <x:v>清点模组现有接近开关，再确定补充数量/型号及安全接口</x:v>
      </x:c>
      <x:c r="F13" s="18" t="str">
        <x:v>真实限位位置与控制原点尚未冻结</x:v>
      </x:c>
      <x:c r="G13" s="18" t="str">
        <x:v>避免把STEP中一个开关当全套限位</x:v>
      </x:c>
      <x:c r="H13" s="18" t="str">
        <x:v>axis_module_interfaces.json</x:v>
      </x:c>
      <x:c r="I13" s="2"/>
      <x:c r="J13" s="28"/>
    </x:row>
    <x:row r="14" ht="68" customHeight="1">
      <x:c r="A14" s="18" t="str">
        <x:v>P07</x:v>
      </x:c>
      <x:c r="B14" s="18" t="str">
        <x:v>新增安装配套</x:v>
      </x:c>
      <x:c r="C14" s="18" t="str">
        <x:v>拖链、支架与运动电缆</x:v>
      </x:c>
      <x:c r="D14" s="18" t="str">
        <x:v>必选</x:v>
      </x:c>
      <x:c r="E14" s="18" t="str">
        <x:v>按实际线径、数量、弯曲半径和行程选择；不能只依空外廓下单</x:v>
      </x:c>
      <x:c r="F14" s="18" t="str">
        <x:v>型号、长度、布线路径尚未定义</x:v>
      </x:c>
      <x:c r="G14" s="18" t="str">
        <x:v>需追加全行程干涉核对</x:v>
      </x:c>
      <x:c r="H14" s="18" t="str">
        <x:v>需求G1/G6；本轮未建模</x:v>
      </x:c>
      <x:c r="I14" s="2"/>
      <x:c r="J14" s="28"/>
    </x:row>
    <x:row r="15" ht="68" customHeight="1">
      <x:c r="A15" s="18" t="str">
        <x:v>P08</x:v>
      </x:c>
      <x:c r="B15" s="18" t="str">
        <x:v>SRC-BUCKET（成套内）</x:v>
      </x:c>
      <x:c r="C15" s="18" t="str">
        <x:v>原桶内部驱动与开阀执行器</x:v>
      </x:c>
      <x:c r="D15" s="18" t="str">
        <x:v>待验证</x:v>
      </x:c>
      <x:c r="E15" s="18" t="str">
        <x:v>旋转轴/联轴器正连接、轴向杆连接、实际执行器型号、出粉嘴固定</x:v>
      </x:c>
      <x:c r="F15" s="18" t="str">
        <x:v>暂无开阀力/行程/阻力矩实测</x:v>
      </x:c>
      <x:c r="G15" s="18" t="str">
        <x:v>不把原桶功能包络当已完工驱动</x:v>
      </x:c>
      <x:c r="H15" s="18" t="str">
        <x:v>new_bucket_audit.json</x:v>
      </x:c>
      <x:c r="I15" s="2"/>
      <x:c r="J15" s="28"/>
    </x:row>
    <x:row r="16" ht="68" customHeight="1">
      <x:c r="A16" s="18" t="str">
        <x:v>P09</x:v>
      </x:c>
      <x:c r="B16" s="18" t="str">
        <x:v>AX-X/Y/Z及夹具</x:v>
      </x:c>
      <x:c r="C16" s="18" t="str">
        <x:v>整头载荷与重心验收</x:v>
      </x:c>
      <x:c r="D16" s="18" t="str">
        <x:v>待验证</x:v>
      </x:c>
      <x:c r="E16" s="18" t="str">
        <x:v>C模块驱动头+夹具+满桶/附件暂按5 kg，另加下伸座/紧固件1.226 kg，Z外载预算6.226 kg</x:v>
      </x:c>
      <x:c r="F16" s="18" t="str">
        <x:v>缺实称；5 kg仅C模块采购目标，不是整个Z末端</x:v>
      </x:c>
      <x:c r="G16" s="18" t="str">
        <x:v>不得用CAD统一密度估整套质量</x:v>
      </x:c>
      <x:c r="H16" s="18" t="str">
        <x:v>需求G2；preliminary_load_budget.json</x:v>
      </x:c>
      <x:c r="I16" s="2"/>
      <x:c r="J16" s="28"/>
    </x:row>
    <x:row r="17" ht="68" customHeight="1">
      <x:c r="A17" s="18" t="str">
        <x:v>P10</x:v>
      </x:c>
      <x:c r="B17" s="18" t="str">
        <x:v>FSL80/60_slot_nut</x:v>
      </x:c>
      <x:c r="C17" s="18" t="str">
        <x:v>槽母强度及装入工艺</x:v>
      </x:c>
      <x:c r="D17" s="18" t="str">
        <x:v>必选</x:v>
      </x:c>
      <x:c r="E17" s="18" t="str">
        <x:v>20 mm长、4 mm厚；轴向封端前装入。厂家确认钢号/镀层/M6承载和扭矩</x:v>
      </x:c>
      <x:c r="F17" s="18" t="str">
        <x:v>已有净空几何，承载未验证</x:v>
      </x:c>
      <x:c r="G17" s="18" t="str">
        <x:v>不能按普通厚M6螺母扭矩直接拧紧</x:v>
      </x:c>
      <x:c r="H17" s="18" t="str">
        <x:v>axis_tnut_interfaces.json</x:v>
      </x:c>
      <x:c r="I17" s="2"/>
      <x:c r="J17" s="28"/>
    </x:row>
    <x:row r="18" ht="68" customHeight="1">
      <x:c r="A18" s="18" t="str">
        <x:v>P11</x:v>
      </x:c>
      <x:c r="B18" s="18" t="str">
        <x:v>独立停车座</x:v>
      </x:c>
      <x:c r="C18" s="18" t="str">
        <x:v>底座安装固定件</x:v>
      </x:c>
      <x:c r="D18" s="18" t="str">
        <x:v>必选</x:v>
      </x:c>
      <x:c r="E18" s="18" t="str">
        <x:v>4×Ø6.6安装孔，配M6；现场基础厚度决定长度及螺母/锚固形式</x:v>
      </x:c>
      <x:c r="F18" s="18" t="str">
        <x:v>安装基础/位置暂无</x:v>
      </x:c>
      <x:c r="G18" s="18" t="str">
        <x:v>不得悬空自动松爪</x:v>
      </x:c>
      <x:c r="H18" s="18" t="str">
        <x:v>clamp_manufacturing_dimensions.json</x:v>
      </x:c>
      <x:c r="I18" s="2"/>
      <x:c r="J18" s="28"/>
    </x:row>
    <x:row r="19" ht="68" customHeight="1">
      <x:c r="A19" s="18" t="str">
        <x:v>P12</x:v>
      </x:c>
      <x:c r="B19" s="18" t="str">
        <x:v>整机验收</x:v>
      </x:c>
      <x:c r="C19" s="18" t="str">
        <x:v>重复定位与热稳定性</x:v>
      </x:c>
      <x:c r="D19" s="18" t="str">
        <x:v>待验证</x:v>
      </x:c>
      <x:c r="E19" s="18" t="str">
        <x:v>热态末端重复定位目标≤±0.05 mm；按真实TCP、负载、行程现场测量</x:v>
      </x:c>
      <x:c r="F19" s="18" t="str">
        <x:v>原轴目录±0.02 mm不等于整机验收</x:v>
      </x:c>
      <x:c r="G19" s="18" t="str">
        <x:v>驱动器外置；电机热影响需实测</x:v>
      </x:c>
      <x:c r="H19" s="18" t="str">
        <x:v>需求G3/G6；FUYU手册v3.1</x:v>
      </x:c>
      <x:c r="I19" s="2"/>
      <x:c r="J19" s="28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pageMargins left="0.7" right="0.7" top="0.75" bottom="0.75" header="0.3" footer="0.3"/>
  <x:tableParts count="1">
    <x:tablePart xmlns:r="http://schemas.openxmlformats.org/officeDocument/2006/relationships" r:id="Rac3d622ee54a4ae4"/>
  </x:tableParts>
</x:worksheet>
</file>

<file path=xl/worksheets/sheet4.xml><?xml version="1.0" encoding="utf-8"?>
<x:worksheet xmlns:x="http://schemas.openxmlformats.org/spreadsheetml/2006/main">
  <x:sheetPr>
    <x:tabColor rgb="FF183B5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75" hidden="0" customWidth="1"/>
    <x:col min="2" max="2" width="30.6299991607666" hidden="0" customWidth="1"/>
    <x:col min="3" max="3" width="26.8799991607666" hidden="0" customWidth="1"/>
    <x:col min="4" max="4" width="10" hidden="0" customWidth="1"/>
    <x:col min="5" max="5" width="13.75" hidden="0" customWidth="1"/>
    <x:col min="6" max="6" width="32.5" hidden="0" customWidth="1"/>
    <x:col min="7" max="7" width="32.5" hidden="0" customWidth="1"/>
    <x:col min="8" max="8" width="11.25" hidden="0" customWidth="1"/>
    <x:col min="9" max="9" width="2.75" hidden="0" customWidth="1"/>
    <x:col min="10" max="10" width="48.7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原桶成套来源与三项替换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6" t="str">
        <x:v>59行为源SLDPRT种类清单。实例数来自装入派生模型的映射，既不是CAD实体数，也不是额外采购量。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6" t="str">
        <x:v>原lid、dock_lock_ring、dock_lock_toggle在本方案装入数为0；新增B件与C夹具只在整机BOM计一次。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1" customHeight="1">
      <x:c r="A7" s="30" t="str">
        <x:v>序号</x:v>
      </x:c>
      <x:c r="B7" s="30" t="str">
        <x:v>原件编号</x:v>
      </x:c>
      <x:c r="C7" s="30" t="str">
        <x:v>本方案处理</x:v>
      </x:c>
      <x:c r="D7" s="30" t="str">
        <x:v>装入实例数</x:v>
      </x:c>
      <x:c r="E7" s="30" t="str">
        <x:v>数量口径</x:v>
      </x:c>
      <x:c r="F7" s="30" t="str">
        <x:v>采购归属</x:v>
      </x:c>
      <x:c r="G7" s="30" t="str">
        <x:v>状态</x:v>
      </x:c>
      <x:c r="H7" s="2" t="str"/>
      <x:c r="I7" s="2" t="str"/>
      <x:c r="J7" s="2" t="str">
        <x:v>源文件快照</x:v>
      </x:c>
    </x:row>
    <x:row r="8" ht="33" customHeight="1">
      <x:c r="A8" s="18" t="n">
        <x:v>1</x:v>
      </x:c>
      <x:c r="B8" s="18" t="str">
        <x:v>bm4_ring_burr</x:v>
      </x:c>
      <x:c r="C8" s="18" t="str">
        <x:v>保留原件</x:v>
      </x:c>
      <x:c r="D8" s="19" t="n">
        <x:v>1</x:v>
      </x:c>
      <x:c r="E8" s="18" t="str">
        <x:v>成套内实例</x:v>
      </x:c>
      <x:c r="F8" s="18" t="str">
        <x:v>SRC-BUCKET 已含，不另计采购</x:v>
      </x:c>
      <x:c r="G8" s="18" t="str">
        <x:v>源几何参考；材料/功能未全验</x:v>
      </x:c>
      <x:c r="H8" s="2" t="str"/>
      <x:c r="I8" s="2" t="str"/>
      <x:c r="J8" s="6" t="str">
        <x:v>DISK_20261011_bm4_ring_burr.SLDPRT</x:v>
      </x:c>
    </x:row>
    <x:row r="9" ht="33" customHeight="1">
      <x:c r="A9" s="18" t="n">
        <x:v>2</x:v>
      </x:c>
      <x:c r="B9" s="18" t="str">
        <x:v>bm4_rotor_burr</x:v>
      </x:c>
      <x:c r="C9" s="18" t="str">
        <x:v>保留原件</x:v>
      </x:c>
      <x:c r="D9" s="19" t="n">
        <x:v>1</x:v>
      </x:c>
      <x:c r="E9" s="18" t="str">
        <x:v>成套内实例</x:v>
      </x:c>
      <x:c r="F9" s="18" t="str">
        <x:v>SRC-BUCKET 已含，不另计采购</x:v>
      </x:c>
      <x:c r="G9" s="18" t="str">
        <x:v>源几何参考；材料/功能未全验</x:v>
      </x:c>
      <x:c r="H9" s="2" t="str"/>
      <x:c r="I9" s="2" t="str"/>
      <x:c r="J9" s="6" t="str">
        <x:v>DISK_20261011_bm4_rotor_burr.SLDPRT</x:v>
      </x:c>
    </x:row>
    <x:row r="10" ht="33" customHeight="1">
      <x:c r="A10" s="18" t="n">
        <x:v>3</x:v>
      </x:c>
      <x:c r="B10" s="18" t="str">
        <x:v>bm4_hopper</x:v>
      </x:c>
      <x:c r="C10" s="18" t="str">
        <x:v>保留原件</x:v>
      </x:c>
      <x:c r="D10" s="19" t="n">
        <x:v>1</x:v>
      </x:c>
      <x:c r="E10" s="18" t="str">
        <x:v>成套内实例</x:v>
      </x:c>
      <x:c r="F10" s="18" t="str">
        <x:v>SRC-BUCKET 已含，不另计采购</x:v>
      </x:c>
      <x:c r="G10" s="18" t="str">
        <x:v>源几何参考；材料/功能未全验</x:v>
      </x:c>
      <x:c r="H10" s="2" t="str"/>
      <x:c r="I10" s="2" t="str"/>
      <x:c r="J10" s="6" t="str">
        <x:v>DISK_20261011_bm4_hopper.SLDPRT</x:v>
      </x:c>
    </x:row>
    <x:row r="11" ht="33" customHeight="1">
      <x:c r="A11" s="18" t="n">
        <x:v>4</x:v>
      </x:c>
      <x:c r="B11" s="18" t="str">
        <x:v>bm4_mill_carrier</x:v>
      </x:c>
      <x:c r="C11" s="18" t="str">
        <x:v>保留原件</x:v>
      </x:c>
      <x:c r="D11" s="19" t="n">
        <x:v>1</x:v>
      </x:c>
      <x:c r="E11" s="18" t="str">
        <x:v>成套内实例</x:v>
      </x:c>
      <x:c r="F11" s="18" t="str">
        <x:v>SRC-BUCKET 已含，不另计采购</x:v>
      </x:c>
      <x:c r="G11" s="18" t="str">
        <x:v>源几何参考；材料/功能未全验</x:v>
      </x:c>
      <x:c r="H11" s="2" t="str"/>
      <x:c r="I11" s="2" t="str"/>
      <x:c r="J11" s="6" t="str">
        <x:v>DISK_20261011_bm4_mill_carrier.SLDPRT</x:v>
      </x:c>
    </x:row>
    <x:row r="12" ht="33" customHeight="1">
      <x:c r="A12" s="18" t="n">
        <x:v>5</x:v>
      </x:c>
      <x:c r="B12" s="18" t="str">
        <x:v>bm4_outlet_cone</x:v>
      </x:c>
      <x:c r="C12" s="18" t="str">
        <x:v>保留原件</x:v>
      </x:c>
      <x:c r="D12" s="19" t="n">
        <x:v>1</x:v>
      </x:c>
      <x:c r="E12" s="18" t="str">
        <x:v>成套内实例</x:v>
      </x:c>
      <x:c r="F12" s="18" t="str">
        <x:v>SRC-BUCKET 已含，不另计采购</x:v>
      </x:c>
      <x:c r="G12" s="18" t="str">
        <x:v>源几何参考；材料/功能未全验</x:v>
      </x:c>
      <x:c r="H12" s="2" t="str"/>
      <x:c r="I12" s="2" t="str"/>
      <x:c r="J12" s="6" t="str">
        <x:v>DISK_20261011_bm4_outlet_cone.SLDPRT</x:v>
      </x:c>
    </x:row>
    <x:row r="13" ht="33" customHeight="1">
      <x:c r="A13" s="18" t="n">
        <x:v>6</x:v>
      </x:c>
      <x:c r="B13" s="18" t="str">
        <x:v>bm4_valve_seat</x:v>
      </x:c>
      <x:c r="C13" s="18" t="str">
        <x:v>保留原件</x:v>
      </x:c>
      <x:c r="D13" s="19" t="n">
        <x:v>1</x:v>
      </x:c>
      <x:c r="E13" s="18" t="str">
        <x:v>成套内实例</x:v>
      </x:c>
      <x:c r="F13" s="18" t="str">
        <x:v>SRC-BUCKET 已含，不另计采购</x:v>
      </x:c>
      <x:c r="G13" s="18" t="str">
        <x:v>源几何参考；材料/功能未全验</x:v>
      </x:c>
      <x:c r="H13" s="2" t="str"/>
      <x:c r="I13" s="2" t="str"/>
      <x:c r="J13" s="6" t="str">
        <x:v>DISK_20261011_bm4_valve_seat.SLDPRT</x:v>
      </x:c>
    </x:row>
    <x:row r="14" ht="33" customHeight="1">
      <x:c r="A14" s="18" t="n">
        <x:v>7</x:v>
      </x:c>
      <x:c r="B14" s="18" t="str">
        <x:v>bm4_tube_adapter</x:v>
      </x:c>
      <x:c r="C14" s="18" t="str">
        <x:v>保留原件</x:v>
      </x:c>
      <x:c r="D14" s="19" t="n">
        <x:v>1</x:v>
      </x:c>
      <x:c r="E14" s="18" t="str">
        <x:v>成套内实例</x:v>
      </x:c>
      <x:c r="F14" s="18" t="str">
        <x:v>SRC-BUCKET 已含，不另计采购</x:v>
      </x:c>
      <x:c r="G14" s="18" t="str">
        <x:v>源几何参考；材料/功能未全验</x:v>
      </x:c>
      <x:c r="H14" s="2" t="str"/>
      <x:c r="I14" s="2" t="str"/>
      <x:c r="J14" s="6" t="str">
        <x:v>DISK_20261011_bm4_tube_adapter.SLDPRT</x:v>
      </x:c>
    </x:row>
    <x:row r="15" ht="33" customHeight="1">
      <x:c r="A15" s="18" t="n">
        <x:v>8</x:v>
      </x:c>
      <x:c r="B15" s="18" t="str">
        <x:v>bm4_flange_bolt</x:v>
      </x:c>
      <x:c r="C15" s="18" t="str">
        <x:v>保留原件</x:v>
      </x:c>
      <x:c r="D15" s="19" t="n">
        <x:v>3</x:v>
      </x:c>
      <x:c r="E15" s="18" t="str">
        <x:v>成套内实例</x:v>
      </x:c>
      <x:c r="F15" s="18" t="str">
        <x:v>SRC-BUCKET 已含，不另计采购</x:v>
      </x:c>
      <x:c r="G15" s="18" t="str">
        <x:v>源几何参考；材料/功能未全验</x:v>
      </x:c>
      <x:c r="H15" s="2" t="str"/>
      <x:c r="I15" s="2" t="str"/>
      <x:c r="J15" s="6" t="str">
        <x:v>DISK_20261011_bm4_flange_bolt.SLDPRT</x:v>
      </x:c>
    </x:row>
    <x:row r="16" ht="33" customHeight="1">
      <x:c r="A16" s="18" t="n">
        <x:v>9</x:v>
      </x:c>
      <x:c r="B16" s="18" t="str">
        <x:v>bm4_flange_nut</x:v>
      </x:c>
      <x:c r="C16" s="18" t="str">
        <x:v>保留原件</x:v>
      </x:c>
      <x:c r="D16" s="19" t="n">
        <x:v>3</x:v>
      </x:c>
      <x:c r="E16" s="18" t="str">
        <x:v>成套内实例</x:v>
      </x:c>
      <x:c r="F16" s="18" t="str">
        <x:v>SRC-BUCKET 已含，不另计采购</x:v>
      </x:c>
      <x:c r="G16" s="18" t="str">
        <x:v>源几何参考；材料/功能未全验</x:v>
      </x:c>
      <x:c r="H16" s="2" t="str"/>
      <x:c r="I16" s="2" t="str"/>
      <x:c r="J16" s="6" t="str">
        <x:v>DISK_20261011_bm4_flange_nut.SLDPRT</x:v>
      </x:c>
    </x:row>
    <x:row r="17" ht="33" customHeight="1">
      <x:c r="A17" s="18" t="n">
        <x:v>10</x:v>
      </x:c>
      <x:c r="B17" s="18" t="str">
        <x:v>bm4_seat_bolt</x:v>
      </x:c>
      <x:c r="C17" s="18" t="str">
        <x:v>保留原件</x:v>
      </x:c>
      <x:c r="D17" s="19" t="n">
        <x:v>3</x:v>
      </x:c>
      <x:c r="E17" s="18" t="str">
        <x:v>成套内实例</x:v>
      </x:c>
      <x:c r="F17" s="18" t="str">
        <x:v>SRC-BUCKET 已含，不另计采购</x:v>
      </x:c>
      <x:c r="G17" s="18" t="str">
        <x:v>源几何参考；材料/功能未全验</x:v>
      </x:c>
      <x:c r="H17" s="2" t="str"/>
      <x:c r="I17" s="2" t="str"/>
      <x:c r="J17" s="6" t="str">
        <x:v>DISK_20261011_bm4_seat_bolt.SLDPRT</x:v>
      </x:c>
    </x:row>
    <x:row r="18" ht="33" customHeight="1">
      <x:c r="A18" s="18" t="n">
        <x:v>11</x:v>
      </x:c>
      <x:c r="B18" s="18" t="str">
        <x:v>bm4_poppet</x:v>
      </x:c>
      <x:c r="C18" s="18" t="str">
        <x:v>保留原件</x:v>
      </x:c>
      <x:c r="D18" s="19" t="n">
        <x:v>1</x:v>
      </x:c>
      <x:c r="E18" s="18" t="str">
        <x:v>成套内实例</x:v>
      </x:c>
      <x:c r="F18" s="18" t="str">
        <x:v>SRC-BUCKET 已含，不另计采购</x:v>
      </x:c>
      <x:c r="G18" s="18" t="str">
        <x:v>源几何参考；材料/功能未全验</x:v>
      </x:c>
      <x:c r="H18" s="2" t="str"/>
      <x:c r="I18" s="2" t="str"/>
      <x:c r="J18" s="6" t="str">
        <x:v>DISK_20261011_bm4_poppet.SLDPRT</x:v>
      </x:c>
    </x:row>
    <x:row r="19" ht="33" customHeight="1">
      <x:c r="A19" s="18" t="n">
        <x:v>12</x:v>
      </x:c>
      <x:c r="B19" s="18" t="str">
        <x:v>bm4_stem</x:v>
      </x:c>
      <x:c r="C19" s="18" t="str">
        <x:v>保留原件</x:v>
      </x:c>
      <x:c r="D19" s="19" t="n">
        <x:v>1</x:v>
      </x:c>
      <x:c r="E19" s="18" t="str">
        <x:v>成套内实例</x:v>
      </x:c>
      <x:c r="F19" s="18" t="str">
        <x:v>SRC-BUCKET 已含，不另计采购</x:v>
      </x:c>
      <x:c r="G19" s="18" t="str">
        <x:v>源几何参考；材料/功能未全验</x:v>
      </x:c>
      <x:c r="H19" s="2" t="str"/>
      <x:c r="I19" s="2" t="str"/>
      <x:c r="J19" s="6" t="str">
        <x:v>DISK_20261011_bm4_stem.SLDPRT</x:v>
      </x:c>
    </x:row>
    <x:row r="20" ht="33" customHeight="1">
      <x:c r="A20" s="18" t="n">
        <x:v>13</x:v>
      </x:c>
      <x:c r="B20" s="18" t="str">
        <x:v>bm4_steel_head</x:v>
      </x:c>
      <x:c r="C20" s="18" t="str">
        <x:v>保留原件</x:v>
      </x:c>
      <x:c r="D20" s="19" t="n">
        <x:v>1</x:v>
      </x:c>
      <x:c r="E20" s="18" t="str">
        <x:v>成套内实例</x:v>
      </x:c>
      <x:c r="F20" s="18" t="str">
        <x:v>SRC-BUCKET 已含，不另计采购</x:v>
      </x:c>
      <x:c r="G20" s="18" t="str">
        <x:v>源几何参考；材料/功能未全验</x:v>
      </x:c>
      <x:c r="H20" s="2" t="str"/>
      <x:c r="I20" s="2" t="str"/>
      <x:c r="J20" s="6" t="str">
        <x:v>DISK_20261011_bm4_steel_head.SLDPRT</x:v>
      </x:c>
    </x:row>
    <x:row r="21" ht="33" customHeight="1">
      <x:c r="A21" s="18" t="n">
        <x:v>14</x:v>
      </x:c>
      <x:c r="B21" s="18" t="str">
        <x:v>bm4_drive_sleeve</x:v>
      </x:c>
      <x:c r="C21" s="18" t="str">
        <x:v>保留原件</x:v>
      </x:c>
      <x:c r="D21" s="19" t="n">
        <x:v>1</x:v>
      </x:c>
      <x:c r="E21" s="18" t="str">
        <x:v>成套内实例</x:v>
      </x:c>
      <x:c r="F21" s="18" t="str">
        <x:v>SRC-BUCKET 已含，不另计采购</x:v>
      </x:c>
      <x:c r="G21" s="18" t="str">
        <x:v>源几何参考；材料/功能未全验</x:v>
      </x:c>
      <x:c r="H21" s="2" t="str"/>
      <x:c r="I21" s="2" t="str"/>
      <x:c r="J21" s="6" t="str">
        <x:v>DISK_20261011_bm4_drive_sleeve.SLDPRT</x:v>
      </x:c>
    </x:row>
    <x:row r="22" ht="33" customHeight="1">
      <x:c r="A22" s="18" t="n">
        <x:v>15</x:v>
      </x:c>
      <x:c r="B22" s="18" t="str">
        <x:v>bm4_rotary_spindle</x:v>
      </x:c>
      <x:c r="C22" s="18" t="str">
        <x:v>保留原件</x:v>
      </x:c>
      <x:c r="D22" s="19" t="n">
        <x:v>1</x:v>
      </x:c>
      <x:c r="E22" s="18" t="str">
        <x:v>成套内实例</x:v>
      </x:c>
      <x:c r="F22" s="18" t="str">
        <x:v>SRC-BUCKET 已含，不另计采购</x:v>
      </x:c>
      <x:c r="G22" s="18" t="str">
        <x:v>源几何参考；材料/功能未全验</x:v>
      </x:c>
      <x:c r="H22" s="2" t="str"/>
      <x:c r="I22" s="2" t="str"/>
      <x:c r="J22" s="6" t="str">
        <x:v>DISK_20261011_bm4_rotary_spindle.SLDPRT</x:v>
      </x:c>
    </x:row>
    <x:row r="23" ht="33" customHeight="1">
      <x:c r="A23" s="18" t="n">
        <x:v>16</x:v>
      </x:c>
      <x:c r="B23" s="18" t="str">
        <x:v>bm4_rotary_coupler</x:v>
      </x:c>
      <x:c r="C23" s="18" t="str">
        <x:v>保留原件</x:v>
      </x:c>
      <x:c r="D23" s="19" t="n">
        <x:v>1</x:v>
      </x:c>
      <x:c r="E23" s="18" t="str">
        <x:v>成套内实例</x:v>
      </x:c>
      <x:c r="F23" s="18" t="str">
        <x:v>SRC-BUCKET 已含，不另计采购</x:v>
      </x:c>
      <x:c r="G23" s="18" t="str">
        <x:v>源几何参考；材料/功能未全验</x:v>
      </x:c>
      <x:c r="H23" s="2" t="str"/>
      <x:c r="I23" s="2" t="str"/>
      <x:c r="J23" s="6" t="str">
        <x:v>DISK_20261011_bm4_rotary_coupler.SLDPRT</x:v>
      </x:c>
    </x:row>
    <x:row r="24" ht="33" customHeight="1">
      <x:c r="A24" s="18" t="n">
        <x:v>17</x:v>
      </x:c>
      <x:c r="B24" s="18" t="str">
        <x:v>bm4_stem_lower_wiper</x:v>
      </x:c>
      <x:c r="C24" s="18" t="str">
        <x:v>保留原件</x:v>
      </x:c>
      <x:c r="D24" s="19" t="n">
        <x:v>1</x:v>
      </x:c>
      <x:c r="E24" s="18" t="str">
        <x:v>成套内实例</x:v>
      </x:c>
      <x:c r="F24" s="18" t="str">
        <x:v>SRC-BUCKET 已含，不另计采购</x:v>
      </x:c>
      <x:c r="G24" s="18" t="str">
        <x:v>源几何参考；材料/功能未全验</x:v>
      </x:c>
      <x:c r="H24" s="2" t="str"/>
      <x:c r="I24" s="2" t="str"/>
      <x:c r="J24" s="6" t="str">
        <x:v>DISK_20261011_bm4_stem_lower_wiper.SLDPRT</x:v>
      </x:c>
    </x:row>
    <x:row r="25" ht="33" customHeight="1">
      <x:c r="A25" s="18" t="n">
        <x:v>18</x:v>
      </x:c>
      <x:c r="B25" s="18" t="str">
        <x:v>bm4_spring_cap</x:v>
      </x:c>
      <x:c r="C25" s="18" t="str">
        <x:v>保留原件</x:v>
      </x:c>
      <x:c r="D25" s="19" t="n">
        <x:v>1</x:v>
      </x:c>
      <x:c r="E25" s="18" t="str">
        <x:v>成套内实例</x:v>
      </x:c>
      <x:c r="F25" s="18" t="str">
        <x:v>SRC-BUCKET 已含，不另计采购</x:v>
      </x:c>
      <x:c r="G25" s="18" t="str">
        <x:v>源几何参考；材料/功能未全验</x:v>
      </x:c>
      <x:c r="H25" s="2" t="str"/>
      <x:c r="I25" s="2" t="str"/>
      <x:c r="J25" s="6" t="str">
        <x:v>DISK_20261011_bm4_spring_cap.SLDPRT</x:v>
      </x:c>
    </x:row>
    <x:row r="26" ht="33" customHeight="1">
      <x:c r="A26" s="18" t="n">
        <x:v>19</x:v>
      </x:c>
      <x:c r="B26" s="18" t="str">
        <x:v>bm4_spring_lower_washer</x:v>
      </x:c>
      <x:c r="C26" s="18" t="str">
        <x:v>保留原件</x:v>
      </x:c>
      <x:c r="D26" s="19" t="n">
        <x:v>1</x:v>
      </x:c>
      <x:c r="E26" s="18" t="str">
        <x:v>成套内实例</x:v>
      </x:c>
      <x:c r="F26" s="18" t="str">
        <x:v>SRC-BUCKET 已含，不另计采购</x:v>
      </x:c>
      <x:c r="G26" s="18" t="str">
        <x:v>源几何参考；材料/功能未全验</x:v>
      </x:c>
      <x:c r="H26" s="2" t="str"/>
      <x:c r="I26" s="2" t="str"/>
      <x:c r="J26" s="6" t="str">
        <x:v>DISK_20261011_bm4_spring_lower_washer.SLDPRT</x:v>
      </x:c>
    </x:row>
    <x:row r="27" ht="33" customHeight="1">
      <x:c r="A27" s="18" t="n">
        <x:v>20</x:v>
      </x:c>
      <x:c r="B27" s="18" t="str">
        <x:v>bm4_spring_upper_washer</x:v>
      </x:c>
      <x:c r="C27" s="18" t="str">
        <x:v>保留原件</x:v>
      </x:c>
      <x:c r="D27" s="19" t="n">
        <x:v>1</x:v>
      </x:c>
      <x:c r="E27" s="18" t="str">
        <x:v>成套内实例</x:v>
      </x:c>
      <x:c r="F27" s="18" t="str">
        <x:v>SRC-BUCKET 已含，不另计采购</x:v>
      </x:c>
      <x:c r="G27" s="18" t="str">
        <x:v>源几何参考；材料/功能未全验</x:v>
      </x:c>
      <x:c r="H27" s="2" t="str"/>
      <x:c r="I27" s="2" t="str"/>
      <x:c r="J27" s="6" t="str">
        <x:v>DISK_20261011_bm4_spring_upper_washer.SLDPRT</x:v>
      </x:c>
    </x:row>
    <x:row r="28" ht="33" customHeight="1">
      <x:c r="A28" s="18" t="n">
        <x:v>21</x:v>
      </x:c>
      <x:c r="B28" s="18" t="str">
        <x:v>bm4_return_spring</x:v>
      </x:c>
      <x:c r="C28" s="18" t="str">
        <x:v>保留原件</x:v>
      </x:c>
      <x:c r="D28" s="19" t="n">
        <x:v>1</x:v>
      </x:c>
      <x:c r="E28" s="18" t="str">
        <x:v>成套内实例</x:v>
      </x:c>
      <x:c r="F28" s="18" t="str">
        <x:v>SRC-BUCKET 已含，不另计采购</x:v>
      </x:c>
      <x:c r="G28" s="18" t="str">
        <x:v>源几何参考；材料/功能未全验</x:v>
      </x:c>
      <x:c r="H28" s="2" t="str"/>
      <x:c r="I28" s="2" t="str"/>
      <x:c r="J28" s="6" t="str">
        <x:v>DISK_20261011_bm4_return_spring.SLDPRT</x:v>
      </x:c>
    </x:row>
    <x:row r="29" ht="33" customHeight="1">
      <x:c r="A29" s="18" t="n">
        <x:v>22</x:v>
      </x:c>
      <x:c r="B29" s="18" t="str">
        <x:v>bm4_lid</x:v>
      </x:c>
      <x:c r="C29" s="18" t="str">
        <x:v>替换为 B-A01</x:v>
      </x:c>
      <x:c r="D29" s="19" t="n">
        <x:v>0</x:v>
      </x:c>
      <x:c r="E29" s="18" t="str">
        <x:v>成套内实例</x:v>
      </x:c>
      <x:c r="F29" s="18" t="str">
        <x:v>SRC-BUCKET 已含，不另计采购</x:v>
      </x:c>
      <x:c r="G29" s="18" t="str">
        <x:v>源文件保留</x:v>
      </x:c>
      <x:c r="H29" s="2" t="str"/>
      <x:c r="I29" s="2" t="str"/>
      <x:c r="J29" s="6" t="str">
        <x:v>DISK_20261011_bm4_lid.SLDPRT</x:v>
      </x:c>
    </x:row>
    <x:row r="30" ht="33" customHeight="1">
      <x:c r="A30" s="18" t="n">
        <x:v>23</x:v>
      </x:c>
      <x:c r="B30" s="18" t="str">
        <x:v>bm4_sleeve_bushing</x:v>
      </x:c>
      <x:c r="C30" s="18" t="str">
        <x:v>保留原件</x:v>
      </x:c>
      <x:c r="D30" s="19" t="n">
        <x:v>1</x:v>
      </x:c>
      <x:c r="E30" s="18" t="str">
        <x:v>成套内实例</x:v>
      </x:c>
      <x:c r="F30" s="18" t="str">
        <x:v>SRC-BUCKET 已含，不另计采购</x:v>
      </x:c>
      <x:c r="G30" s="18" t="str">
        <x:v>源几何参考；材料/功能未全验</x:v>
      </x:c>
      <x:c r="H30" s="2" t="str"/>
      <x:c r="I30" s="2" t="str"/>
      <x:c r="J30" s="6" t="str">
        <x:v>DISK_20261011_bm4_sleeve_bushing.SLDPRT</x:v>
      </x:c>
    </x:row>
    <x:row r="31" ht="33" customHeight="1">
      <x:c r="A31" s="18" t="n">
        <x:v>24</x:v>
      </x:c>
      <x:c r="B31" s="18" t="str">
        <x:v>bm4_sleeve_lip_seal</x:v>
      </x:c>
      <x:c r="C31" s="18" t="str">
        <x:v>保留原件</x:v>
      </x:c>
      <x:c r="D31" s="19" t="n">
        <x:v>1</x:v>
      </x:c>
      <x:c r="E31" s="18" t="str">
        <x:v>成套内实例</x:v>
      </x:c>
      <x:c r="F31" s="18" t="str">
        <x:v>SRC-BUCKET 已含，不另计采购</x:v>
      </x:c>
      <x:c r="G31" s="18" t="str">
        <x:v>源几何参考；材料/功能未全验</x:v>
      </x:c>
      <x:c r="H31" s="2" t="str"/>
      <x:c r="I31" s="2" t="str"/>
      <x:c r="J31" s="6" t="str">
        <x:v>DISK_20261011_bm4_sleeve_lip_seal.SLDPRT</x:v>
      </x:c>
    </x:row>
    <x:row r="32" ht="33" customHeight="1">
      <x:c r="A32" s="18" t="n">
        <x:v>25</x:v>
      </x:c>
      <x:c r="B32" s="18" t="str">
        <x:v>bm4_thrust_washer</x:v>
      </x:c>
      <x:c r="C32" s="18" t="str">
        <x:v>保留原件</x:v>
      </x:c>
      <x:c r="D32" s="19" t="n">
        <x:v>1</x:v>
      </x:c>
      <x:c r="E32" s="18" t="str">
        <x:v>成套内实例</x:v>
      </x:c>
      <x:c r="F32" s="18" t="str">
        <x:v>SRC-BUCKET 已含，不另计采购</x:v>
      </x:c>
      <x:c r="G32" s="18" t="str">
        <x:v>源几何参考；材料/功能未全验</x:v>
      </x:c>
      <x:c r="H32" s="2" t="str"/>
      <x:c r="I32" s="2" t="str"/>
      <x:c r="J32" s="6" t="str">
        <x:v>DISK_20261011_bm4_thrust_washer.SLDPRT</x:v>
      </x:c>
    </x:row>
    <x:row r="33" ht="33" customHeight="1">
      <x:c r="A33" s="18" t="n">
        <x:v>26</x:v>
      </x:c>
      <x:c r="B33" s="18" t="str">
        <x:v>bm4_lower_thrust_washer</x:v>
      </x:c>
      <x:c r="C33" s="18" t="str">
        <x:v>保留原件</x:v>
      </x:c>
      <x:c r="D33" s="19" t="n">
        <x:v>1</x:v>
      </x:c>
      <x:c r="E33" s="18" t="str">
        <x:v>成套内实例</x:v>
      </x:c>
      <x:c r="F33" s="18" t="str">
        <x:v>SRC-BUCKET 已含，不另计采购</x:v>
      </x:c>
      <x:c r="G33" s="18" t="str">
        <x:v>源几何参考；材料/功能未全验</x:v>
      </x:c>
      <x:c r="H33" s="2" t="str"/>
      <x:c r="I33" s="2" t="str"/>
      <x:c r="J33" s="6" t="str">
        <x:v>DISK_20261011_bm4_lower_thrust_washer.SLDPRT</x:v>
      </x:c>
    </x:row>
    <x:row r="34" ht="33" customHeight="1">
      <x:c r="A34" s="18" t="n">
        <x:v>27</x:v>
      </x:c>
      <x:c r="B34" s="18" t="str">
        <x:v>bm4_axial_retainer</x:v>
      </x:c>
      <x:c r="C34" s="18" t="str">
        <x:v>保留原件</x:v>
      </x:c>
      <x:c r="D34" s="19" t="n">
        <x:v>1</x:v>
      </x:c>
      <x:c r="E34" s="18" t="str">
        <x:v>成套内实例</x:v>
      </x:c>
      <x:c r="F34" s="18" t="str">
        <x:v>SRC-BUCKET 已含，不另计采购</x:v>
      </x:c>
      <x:c r="G34" s="18" t="str">
        <x:v>源几何参考；材料/功能未全验</x:v>
      </x:c>
      <x:c r="H34" s="2" t="str"/>
      <x:c r="I34" s="2" t="str"/>
      <x:c r="J34" s="6" t="str">
        <x:v>DISK_20261011_bm4_axial_retainer.SLDPRT</x:v>
      </x:c>
    </x:row>
    <x:row r="35" ht="33" customHeight="1">
      <x:c r="A35" s="18" t="n">
        <x:v>28</x:v>
      </x:c>
      <x:c r="B35" s="18" t="str">
        <x:v>bm4_rotor_lower_nut</x:v>
      </x:c>
      <x:c r="C35" s="18" t="str">
        <x:v>保留原件</x:v>
      </x:c>
      <x:c r="D35" s="19" t="n">
        <x:v>1</x:v>
      </x:c>
      <x:c r="E35" s="18" t="str">
        <x:v>成套内实例</x:v>
      </x:c>
      <x:c r="F35" s="18" t="str">
        <x:v>SRC-BUCKET 已含，不另计采购</x:v>
      </x:c>
      <x:c r="G35" s="18" t="str">
        <x:v>源几何参考；材料/功能未全验</x:v>
      </x:c>
      <x:c r="H35" s="2" t="str"/>
      <x:c r="I35" s="2" t="str"/>
      <x:c r="J35" s="6" t="str">
        <x:v>DISK_20261011_bm4_rotor_lower_nut.SLDPRT</x:v>
      </x:c>
    </x:row>
    <x:row r="36" ht="33" customHeight="1">
      <x:c r="A36" s="18" t="n">
        <x:v>29</x:v>
      </x:c>
      <x:c r="B36" s="18" t="str">
        <x:v>bm4_rotor_upper_nut</x:v>
      </x:c>
      <x:c r="C36" s="18" t="str">
        <x:v>保留原件</x:v>
      </x:c>
      <x:c r="D36" s="19" t="n">
        <x:v>1</x:v>
      </x:c>
      <x:c r="E36" s="18" t="str">
        <x:v>成套内实例</x:v>
      </x:c>
      <x:c r="F36" s="18" t="str">
        <x:v>SRC-BUCKET 已含，不另计采购</x:v>
      </x:c>
      <x:c r="G36" s="18" t="str">
        <x:v>源几何参考；材料/功能未全验</x:v>
      </x:c>
      <x:c r="H36" s="2" t="str"/>
      <x:c r="I36" s="2" t="str"/>
      <x:c r="J36" s="6" t="str">
        <x:v>DISK_20261011_bm4_rotor_upper_nut.SLDPRT</x:v>
      </x:c>
    </x:row>
    <x:row r="37" ht="33" customHeight="1">
      <x:c r="A37" s="18" t="n">
        <x:v>30</x:v>
      </x:c>
      <x:c r="B37" s="18" t="str">
        <x:v>bm4_blade_screw</x:v>
      </x:c>
      <x:c r="C37" s="18" t="str">
        <x:v>保留原件</x:v>
      </x:c>
      <x:c r="D37" s="19" t="n">
        <x:v>12</x:v>
      </x:c>
      <x:c r="E37" s="18" t="str">
        <x:v>成套内实例</x:v>
      </x:c>
      <x:c r="F37" s="18" t="str">
        <x:v>SRC-BUCKET 已含，不另计采购</x:v>
      </x:c>
      <x:c r="G37" s="18" t="str">
        <x:v>源几何参考；材料/功能未全验</x:v>
      </x:c>
      <x:c r="H37" s="2" t="str"/>
      <x:c r="I37" s="2" t="str"/>
      <x:c r="J37" s="6" t="str">
        <x:v>DISK_20261011_bm4_blade_screw.SLDPRT</x:v>
      </x:c>
    </x:row>
    <x:row r="38" ht="33" customHeight="1">
      <x:c r="A38" s="18" t="n">
        <x:v>31</x:v>
      </x:c>
      <x:c r="B38" s="18" t="str">
        <x:v>bm4_hopper_blade</x:v>
      </x:c>
      <x:c r="C38" s="18" t="str">
        <x:v>保留原件</x:v>
      </x:c>
      <x:c r="D38" s="19" t="n">
        <x:v>2</x:v>
      </x:c>
      <x:c r="E38" s="18" t="str">
        <x:v>成套内实例</x:v>
      </x:c>
      <x:c r="F38" s="18" t="str">
        <x:v>SRC-BUCKET 已含，不另计采购</x:v>
      </x:c>
      <x:c r="G38" s="18" t="str">
        <x:v>源几何参考；材料/功能未全验</x:v>
      </x:c>
      <x:c r="H38" s="2" t="str"/>
      <x:c r="I38" s="2" t="str"/>
      <x:c r="J38" s="6" t="str">
        <x:v>DISK_20261011_bm4_hopper_blade.SLDPRT</x:v>
      </x:c>
    </x:row>
    <x:row r="39" ht="33" customHeight="1">
      <x:c r="A39" s="18" t="n">
        <x:v>32</x:v>
      </x:c>
      <x:c r="B39" s="18" t="str">
        <x:v>bm4_hopper_frame</x:v>
      </x:c>
      <x:c r="C39" s="18" t="str">
        <x:v>保留原件</x:v>
      </x:c>
      <x:c r="D39" s="19" t="n">
        <x:v>2</x:v>
      </x:c>
      <x:c r="E39" s="18" t="str">
        <x:v>成套内实例</x:v>
      </x:c>
      <x:c r="F39" s="18" t="str">
        <x:v>SRC-BUCKET 已含，不另计采购</x:v>
      </x:c>
      <x:c r="G39" s="18" t="str">
        <x:v>源几何参考；材料/功能未全验</x:v>
      </x:c>
      <x:c r="H39" s="2" t="str"/>
      <x:c r="I39" s="2" t="str"/>
      <x:c r="J39" s="6" t="str">
        <x:v>DISK_20261011_bm4_hopper_frame.SLDPRT</x:v>
      </x:c>
    </x:row>
    <x:row r="40" ht="33" customHeight="1">
      <x:c r="A40" s="18" t="n">
        <x:v>33</x:v>
      </x:c>
      <x:c r="B40" s="18" t="str">
        <x:v>bm4_nozzle_blade</x:v>
      </x:c>
      <x:c r="C40" s="18" t="str">
        <x:v>保留原件</x:v>
      </x:c>
      <x:c r="D40" s="19" t="n">
        <x:v>2</x:v>
      </x:c>
      <x:c r="E40" s="18" t="str">
        <x:v>成套内实例</x:v>
      </x:c>
      <x:c r="F40" s="18" t="str">
        <x:v>SRC-BUCKET 已含，不另计采购</x:v>
      </x:c>
      <x:c r="G40" s="18" t="str">
        <x:v>源几何参考；材料/功能未全验</x:v>
      </x:c>
      <x:c r="H40" s="2" t="str"/>
      <x:c r="I40" s="2" t="str"/>
      <x:c r="J40" s="6" t="str">
        <x:v>DISK_20261011_bm4_nozzle_blade.SLDPRT</x:v>
      </x:c>
    </x:row>
    <x:row r="41" ht="33" customHeight="1">
      <x:c r="A41" s="18" t="n">
        <x:v>34</x:v>
      </x:c>
      <x:c r="B41" s="18" t="str">
        <x:v>bm4_nozzle_frame</x:v>
      </x:c>
      <x:c r="C41" s="18" t="str">
        <x:v>保留原件</x:v>
      </x:c>
      <x:c r="D41" s="19" t="n">
        <x:v>2</x:v>
      </x:c>
      <x:c r="E41" s="18" t="str">
        <x:v>成套内实例</x:v>
      </x:c>
      <x:c r="F41" s="18" t="str">
        <x:v>SRC-BUCKET 已含，不另计采购</x:v>
      </x:c>
      <x:c r="G41" s="18" t="str">
        <x:v>源几何参考；材料/功能未全验</x:v>
      </x:c>
      <x:c r="H41" s="2" t="str"/>
      <x:c r="I41" s="2" t="str"/>
      <x:c r="J41" s="6" t="str">
        <x:v>DISK_20261011_bm4_nozzle_frame.SLDPRT</x:v>
      </x:c>
    </x:row>
    <x:row r="42" ht="33" customHeight="1">
      <x:c r="A42" s="18" t="n">
        <x:v>35</x:v>
      </x:c>
      <x:c r="B42" s="18" t="str">
        <x:v>bm4_head_plate</x:v>
      </x:c>
      <x:c r="C42" s="18" t="str">
        <x:v>保留原件</x:v>
      </x:c>
      <x:c r="D42" s="19" t="n">
        <x:v>1</x:v>
      </x:c>
      <x:c r="E42" s="18" t="str">
        <x:v>成套内实例</x:v>
      </x:c>
      <x:c r="F42" s="18" t="str">
        <x:v>SRC-BUCKET 已含，不另计采购</x:v>
      </x:c>
      <x:c r="G42" s="18" t="str">
        <x:v>源几何参考；材料/功能未全验</x:v>
      </x:c>
      <x:c r="H42" s="2" t="str"/>
      <x:c r="I42" s="2" t="str"/>
      <x:c r="J42" s="6" t="str">
        <x:v>DISK_20261011_bm4_head_plate.SLDPRT</x:v>
      </x:c>
    </x:row>
    <x:row r="43" ht="33" customHeight="1">
      <x:c r="A43" s="18" t="n">
        <x:v>36</x:v>
      </x:c>
      <x:c r="B43" s="18" t="str">
        <x:v>bm4_ball_plunger</x:v>
      </x:c>
      <x:c r="C43" s="18" t="str">
        <x:v>保留原件</x:v>
      </x:c>
      <x:c r="D43" s="19" t="n">
        <x:v>3</x:v>
      </x:c>
      <x:c r="E43" s="18" t="str">
        <x:v>成套内实例</x:v>
      </x:c>
      <x:c r="F43" s="18" t="str">
        <x:v>SRC-BUCKET 已含，不另计采购</x:v>
      </x:c>
      <x:c r="G43" s="18" t="str">
        <x:v>源几何参考；材料/功能未全验</x:v>
      </x:c>
      <x:c r="H43" s="2" t="str"/>
      <x:c r="I43" s="2" t="str"/>
      <x:c r="J43" s="6" t="str">
        <x:v>DISK_20261011_bm4_ball_plunger.SLDPRT</x:v>
      </x:c>
    </x:row>
    <x:row r="44" ht="33" customHeight="1">
      <x:c r="A44" s="18" t="n">
        <x:v>37</x:v>
      </x:c>
      <x:c r="B44" s="18" t="str">
        <x:v>bm4_latch_ball</x:v>
      </x:c>
      <x:c r="C44" s="18" t="str">
        <x:v>保留原件</x:v>
      </x:c>
      <x:c r="D44" s="19" t="n">
        <x:v>3</x:v>
      </x:c>
      <x:c r="E44" s="18" t="str">
        <x:v>成套内实例</x:v>
      </x:c>
      <x:c r="F44" s="18" t="str">
        <x:v>SRC-BUCKET 已含，不另计采购</x:v>
      </x:c>
      <x:c r="G44" s="18" t="str">
        <x:v>源几何参考；材料/功能未全验</x:v>
      </x:c>
      <x:c r="H44" s="2" t="str"/>
      <x:c r="I44" s="2" t="str"/>
      <x:c r="J44" s="6" t="str">
        <x:v>DISK_20261011_bm4_latch_ball.SLDPRT</x:v>
      </x:c>
    </x:row>
    <x:row r="45" ht="33" customHeight="1">
      <x:c r="A45" s="18" t="n">
        <x:v>38</x:v>
      </x:c>
      <x:c r="B45" s="18" t="str">
        <x:v>bm4_vent_adapter</x:v>
      </x:c>
      <x:c r="C45" s="18" t="str">
        <x:v>保留原件</x:v>
      </x:c>
      <x:c r="D45" s="19" t="n">
        <x:v>1</x:v>
      </x:c>
      <x:c r="E45" s="18" t="str">
        <x:v>成套内实例</x:v>
      </x:c>
      <x:c r="F45" s="18" t="str">
        <x:v>SRC-BUCKET 已含，不另计采购</x:v>
      </x:c>
      <x:c r="G45" s="18" t="str">
        <x:v>源几何参考；材料/功能未全验</x:v>
      </x:c>
      <x:c r="H45" s="2" t="str"/>
      <x:c r="I45" s="2" t="str"/>
      <x:c r="J45" s="6" t="str">
        <x:v>DISK_20261011_bm4_vent_adapter.SLDPRT</x:v>
      </x:c>
    </x:row>
    <x:row r="46" ht="33" customHeight="1">
      <x:c r="A46" s="18" t="n">
        <x:v>39</x:v>
      </x:c>
      <x:c r="B46" s="18" t="str">
        <x:v>bm4_dock_lock_ring</x:v>
      </x:c>
      <x:c r="C46" s="18" t="str">
        <x:v>由 C 正锁夹具替换</x:v>
      </x:c>
      <x:c r="D46" s="19" t="n">
        <x:v>0</x:v>
      </x:c>
      <x:c r="E46" s="18" t="str">
        <x:v>成套内实例</x:v>
      </x:c>
      <x:c r="F46" s="18" t="str">
        <x:v>SRC-BUCKET 已含，不另计采购</x:v>
      </x:c>
      <x:c r="G46" s="18" t="str">
        <x:v>源文件保留</x:v>
      </x:c>
      <x:c r="H46" s="2" t="str"/>
      <x:c r="I46" s="2" t="str"/>
      <x:c r="J46" s="6" t="str">
        <x:v>DISK_20261011_bm4_dock_lock_ring.SLDPRT</x:v>
      </x:c>
    </x:row>
    <x:row r="47" ht="33" customHeight="1">
      <x:c r="A47" s="18" t="n">
        <x:v>40</x:v>
      </x:c>
      <x:c r="B47" s="18" t="str">
        <x:v>bm4_dock_lock_toggle</x:v>
      </x:c>
      <x:c r="C47" s="18" t="str">
        <x:v>由 C 正锁夹具替换</x:v>
      </x:c>
      <x:c r="D47" s="19" t="n">
        <x:v>0</x:v>
      </x:c>
      <x:c r="E47" s="18" t="str">
        <x:v>成套内实例</x:v>
      </x:c>
      <x:c r="F47" s="18" t="str">
        <x:v>SRC-BUCKET 已含，不另计采购</x:v>
      </x:c>
      <x:c r="G47" s="18" t="str">
        <x:v>源文件保留</x:v>
      </x:c>
      <x:c r="H47" s="2" t="str"/>
      <x:c r="I47" s="2" t="str"/>
      <x:c r="J47" s="6" t="str">
        <x:v>DISK_20261011_bm4_dock_lock_toggle.SLDPRT</x:v>
      </x:c>
    </x:row>
    <x:row r="48" ht="33" customHeight="1">
      <x:c r="A48" s="18" t="n">
        <x:v>41</x:v>
      </x:c>
      <x:c r="B48" s="18" t="str">
        <x:v>bm4_motor_23HS2065</x:v>
      </x:c>
      <x:c r="C48" s="18" t="str">
        <x:v>保留原件</x:v>
      </x:c>
      <x:c r="D48" s="19" t="n">
        <x:v>1</x:v>
      </x:c>
      <x:c r="E48" s="18" t="str">
        <x:v>成套内实例</x:v>
      </x:c>
      <x:c r="F48" s="18" t="str">
        <x:v>SRC-BUCKET 已含，不另计采购</x:v>
      </x:c>
      <x:c r="G48" s="18" t="str">
        <x:v>源几何参考；材料/功能未全验</x:v>
      </x:c>
      <x:c r="H48" s="2" t="str"/>
      <x:c r="I48" s="2" t="str"/>
      <x:c r="J48" s="6" t="str">
        <x:v>DISK_20261011_bm4_motor_23HS2065.SLDPRT</x:v>
      </x:c>
    </x:row>
    <x:row r="49" ht="33" customHeight="1">
      <x:c r="A49" s="18" t="n">
        <x:v>42</x:v>
      </x:c>
      <x:c r="B49" s="18" t="str">
        <x:v>bm4_motor_mount</x:v>
      </x:c>
      <x:c r="C49" s="18" t="str">
        <x:v>保留原件</x:v>
      </x:c>
      <x:c r="D49" s="19" t="n">
        <x:v>1</x:v>
      </x:c>
      <x:c r="E49" s="18" t="str">
        <x:v>成套内实例</x:v>
      </x:c>
      <x:c r="F49" s="18" t="str">
        <x:v>SRC-BUCKET 已含，不另计采购</x:v>
      </x:c>
      <x:c r="G49" s="18" t="str">
        <x:v>源几何参考；材料/功能未全验</x:v>
      </x:c>
      <x:c r="H49" s="2" t="str"/>
      <x:c r="I49" s="2" t="str"/>
      <x:c r="J49" s="6" t="str">
        <x:v>DISK_20261011_bm4_motor_mount.SLDPRT</x:v>
      </x:c>
    </x:row>
    <x:row r="50" ht="33" customHeight="1">
      <x:c r="A50" s="18" t="n">
        <x:v>43</x:v>
      </x:c>
      <x:c r="B50" s="18" t="str">
        <x:v>bm4_motor_post</x:v>
      </x:c>
      <x:c r="C50" s="18" t="str">
        <x:v>保留原件</x:v>
      </x:c>
      <x:c r="D50" s="19" t="n">
        <x:v>4</x:v>
      </x:c>
      <x:c r="E50" s="18" t="str">
        <x:v>成套内实例</x:v>
      </x:c>
      <x:c r="F50" s="18" t="str">
        <x:v>SRC-BUCKET 已含，不另计采购</x:v>
      </x:c>
      <x:c r="G50" s="18" t="str">
        <x:v>源几何参考；材料/功能未全验</x:v>
      </x:c>
      <x:c r="H50" s="2" t="str"/>
      <x:c r="I50" s="2" t="str"/>
      <x:c r="J50" s="6" t="str">
        <x:v>DISK_20261011_bm4_motor_post.SLDPRT</x:v>
      </x:c>
    </x:row>
    <x:row r="51" ht="33" customHeight="1">
      <x:c r="A51" s="18" t="n">
        <x:v>44</x:v>
      </x:c>
      <x:c r="B51" s="18" t="str">
        <x:v>bm4_motor_bolt</x:v>
      </x:c>
      <x:c r="C51" s="18" t="str">
        <x:v>保留原件</x:v>
      </x:c>
      <x:c r="D51" s="19" t="n">
        <x:v>4</x:v>
      </x:c>
      <x:c r="E51" s="18" t="str">
        <x:v>成套内实例</x:v>
      </x:c>
      <x:c r="F51" s="18" t="str">
        <x:v>SRC-BUCKET 已含，不另计采购</x:v>
      </x:c>
      <x:c r="G51" s="18" t="str">
        <x:v>源几何参考；材料/功能未全验</x:v>
      </x:c>
      <x:c r="H51" s="2" t="str"/>
      <x:c r="I51" s="2" t="str"/>
      <x:c r="J51" s="6" t="str">
        <x:v>DISK_20261011_bm4_motor_bolt.SLDPRT</x:v>
      </x:c>
    </x:row>
    <x:row r="52" ht="33" customHeight="1">
      <x:c r="A52" s="18" t="n">
        <x:v>45</x:v>
      </x:c>
      <x:c r="B52" s="18" t="str">
        <x:v>bm4_motor_nut</x:v>
      </x:c>
      <x:c r="C52" s="18" t="str">
        <x:v>保留原件</x:v>
      </x:c>
      <x:c r="D52" s="19" t="n">
        <x:v>4</x:v>
      </x:c>
      <x:c r="E52" s="18" t="str">
        <x:v>成套内实例</x:v>
      </x:c>
      <x:c r="F52" s="18" t="str">
        <x:v>SRC-BUCKET 已含，不另计采购</x:v>
      </x:c>
      <x:c r="G52" s="18" t="str">
        <x:v>源几何参考；材料/功能未全验</x:v>
      </x:c>
      <x:c r="H52" s="2" t="str"/>
      <x:c r="I52" s="2" t="str"/>
      <x:c r="J52" s="6" t="str">
        <x:v>DISK_20261011_bm4_motor_nut.SLDPRT</x:v>
      </x:c>
    </x:row>
    <x:row r="53" ht="33" customHeight="1">
      <x:c r="A53" s="18" t="n">
        <x:v>46</x:v>
      </x:c>
      <x:c r="B53" s="18" t="str">
        <x:v>bm4_floating_jaw</x:v>
      </x:c>
      <x:c r="C53" s="18" t="str">
        <x:v>保留原件</x:v>
      </x:c>
      <x:c r="D53" s="19" t="n">
        <x:v>1</x:v>
      </x:c>
      <x:c r="E53" s="18" t="str">
        <x:v>成套内实例</x:v>
      </x:c>
      <x:c r="F53" s="18" t="str">
        <x:v>SRC-BUCKET 已含，不另计采购</x:v>
      </x:c>
      <x:c r="G53" s="18" t="str">
        <x:v>源几何参考；材料/功能未全验</x:v>
      </x:c>
      <x:c r="H53" s="2" t="str"/>
      <x:c r="I53" s="2" t="str"/>
      <x:c r="J53" s="6" t="str">
        <x:v>DISK_20261011_bm4_floating_jaw.SLDPRT</x:v>
      </x:c>
    </x:row>
    <x:row r="54" ht="33" customHeight="1">
      <x:c r="A54" s="18" t="n">
        <x:v>47</x:v>
      </x:c>
      <x:c r="B54" s="18" t="str">
        <x:v>bm4_motor_clamp</x:v>
      </x:c>
      <x:c r="C54" s="18" t="str">
        <x:v>保留原件</x:v>
      </x:c>
      <x:c r="D54" s="19" t="n">
        <x:v>1</x:v>
      </x:c>
      <x:c r="E54" s="18" t="str">
        <x:v>成套内实例</x:v>
      </x:c>
      <x:c r="F54" s="18" t="str">
        <x:v>SRC-BUCKET 已含，不另计采购</x:v>
      </x:c>
      <x:c r="G54" s="18" t="str">
        <x:v>源几何参考；材料/功能未全验</x:v>
      </x:c>
      <x:c r="H54" s="2" t="str"/>
      <x:c r="I54" s="2" t="str"/>
      <x:c r="J54" s="6" t="str">
        <x:v>DISK_20261011_bm4_motor_clamp.SLDPRT</x:v>
      </x:c>
    </x:row>
    <x:row r="55" ht="33" customHeight="1">
      <x:c r="A55" s="18" t="n">
        <x:v>48</x:v>
      </x:c>
      <x:c r="B55" s="18" t="str">
        <x:v>bm4_clamp_bolt</x:v>
      </x:c>
      <x:c r="C55" s="18" t="str">
        <x:v>保留原件</x:v>
      </x:c>
      <x:c r="D55" s="19" t="n">
        <x:v>1</x:v>
      </x:c>
      <x:c r="E55" s="18" t="str">
        <x:v>成套内实例</x:v>
      </x:c>
      <x:c r="F55" s="18" t="str">
        <x:v>SRC-BUCKET 已含，不另计采购</x:v>
      </x:c>
      <x:c r="G55" s="18" t="str">
        <x:v>源几何参考；材料/功能未全验</x:v>
      </x:c>
      <x:c r="H55" s="2" t="str"/>
      <x:c r="I55" s="2" t="str"/>
      <x:c r="J55" s="6" t="str">
        <x:v>DISK_20261011_bm4_clamp_bolt.SLDPRT</x:v>
      </x:c>
    </x:row>
    <x:row r="56" ht="33" customHeight="1">
      <x:c r="A56" s="18" t="n">
        <x:v>49</x:v>
      </x:c>
      <x:c r="B56" s="18" t="str">
        <x:v>bm4_clamp_nut</x:v>
      </x:c>
      <x:c r="C56" s="18" t="str">
        <x:v>保留原件</x:v>
      </x:c>
      <x:c r="D56" s="19" t="n">
        <x:v>1</x:v>
      </x:c>
      <x:c r="E56" s="18" t="str">
        <x:v>成套内实例</x:v>
      </x:c>
      <x:c r="F56" s="18" t="str">
        <x:v>SRC-BUCKET 已含，不另计采购</x:v>
      </x:c>
      <x:c r="G56" s="18" t="str">
        <x:v>源几何参考；材料/功能未全验</x:v>
      </x:c>
      <x:c r="H56" s="2" t="str"/>
      <x:c r="I56" s="2" t="str"/>
      <x:c r="J56" s="6" t="str">
        <x:v>DISK_20261011_bm4_clamp_nut.SLDPRT</x:v>
      </x:c>
    </x:row>
    <x:row r="57" ht="33" customHeight="1">
      <x:c r="A57" s="18" t="n">
        <x:v>50</x:v>
      </x:c>
      <x:c r="B57" s="18" t="str">
        <x:v>bm4_guide_pin</x:v>
      </x:c>
      <x:c r="C57" s="18" t="str">
        <x:v>保留原件</x:v>
      </x:c>
      <x:c r="D57" s="19" t="n">
        <x:v>3</x:v>
      </x:c>
      <x:c r="E57" s="18" t="str">
        <x:v>成套内实例</x:v>
      </x:c>
      <x:c r="F57" s="18" t="str">
        <x:v>SRC-BUCKET 已含，不另计采购</x:v>
      </x:c>
      <x:c r="G57" s="18" t="str">
        <x:v>源几何参考；材料/功能未全验</x:v>
      </x:c>
      <x:c r="H57" s="2" t="str"/>
      <x:c r="I57" s="2" t="str"/>
      <x:c r="J57" s="6" t="str">
        <x:v>DISK_20261011_bm4_guide_pin.SLDPRT</x:v>
      </x:c>
    </x:row>
    <x:row r="58" ht="33" customHeight="1">
      <x:c r="A58" s="18" t="n">
        <x:v>51</x:v>
      </x:c>
      <x:c r="B58" s="18" t="str">
        <x:v>bm4_jaw_spring</x:v>
      </x:c>
      <x:c r="C58" s="18" t="str">
        <x:v>保留原件</x:v>
      </x:c>
      <x:c r="D58" s="19" t="n">
        <x:v>3</x:v>
      </x:c>
      <x:c r="E58" s="18" t="str">
        <x:v>成套内实例</x:v>
      </x:c>
      <x:c r="F58" s="18" t="str">
        <x:v>SRC-BUCKET 已含，不另计采购</x:v>
      </x:c>
      <x:c r="G58" s="18" t="str">
        <x:v>源几何参考；材料/功能未全验</x:v>
      </x:c>
      <x:c r="H58" s="2" t="str"/>
      <x:c r="I58" s="2" t="str"/>
      <x:c r="J58" s="6" t="str">
        <x:v>DISK_20261011_bm4_jaw_spring.SLDPRT</x:v>
      </x:c>
    </x:row>
    <x:row r="59" ht="33" customHeight="1">
      <x:c r="A59" s="18" t="n">
        <x:v>52</x:v>
      </x:c>
      <x:c r="B59" s="18" t="str">
        <x:v>bm4_actuator_bridge</x:v>
      </x:c>
      <x:c r="C59" s="18" t="str">
        <x:v>保留原件</x:v>
      </x:c>
      <x:c r="D59" s="19" t="n">
        <x:v>1</x:v>
      </x:c>
      <x:c r="E59" s="18" t="str">
        <x:v>成套内实例</x:v>
      </x:c>
      <x:c r="F59" s="18" t="str">
        <x:v>SRC-BUCKET 已含，不另计采购</x:v>
      </x:c>
      <x:c r="G59" s="18" t="str">
        <x:v>源几何参考；材料/功能未全验</x:v>
      </x:c>
      <x:c r="H59" s="2" t="str"/>
      <x:c r="I59" s="2" t="str"/>
      <x:c r="J59" s="6" t="str">
        <x:v>DISK_20261011_bm4_actuator_bridge.SLDPRT</x:v>
      </x:c>
    </x:row>
    <x:row r="60" ht="33" customHeight="1">
      <x:c r="A60" s="18" t="n">
        <x:v>53</x:v>
      </x:c>
      <x:c r="B60" s="18" t="str">
        <x:v>bm4_bridge_rail</x:v>
      </x:c>
      <x:c r="C60" s="18" t="str">
        <x:v>保留原件</x:v>
      </x:c>
      <x:c r="D60" s="19" t="n">
        <x:v>2</x:v>
      </x:c>
      <x:c r="E60" s="18" t="str">
        <x:v>成套内实例</x:v>
      </x:c>
      <x:c r="F60" s="18" t="str">
        <x:v>SRC-BUCKET 已含，不另计采购</x:v>
      </x:c>
      <x:c r="G60" s="18" t="str">
        <x:v>源几何参考；材料/功能未全验</x:v>
      </x:c>
      <x:c r="H60" s="2" t="str"/>
      <x:c r="I60" s="2" t="str"/>
      <x:c r="J60" s="6" t="str">
        <x:v>DISK_20261011_bm4_bridge_rail.SLDPRT</x:v>
      </x:c>
    </x:row>
    <x:row r="61" ht="33" customHeight="1">
      <x:c r="A61" s="18" t="n">
        <x:v>54</x:v>
      </x:c>
      <x:c r="B61" s="18" t="str">
        <x:v>bm4_bridge_bolt</x:v>
      </x:c>
      <x:c r="C61" s="18" t="str">
        <x:v>保留原件</x:v>
      </x:c>
      <x:c r="D61" s="19" t="n">
        <x:v>8</x:v>
      </x:c>
      <x:c r="E61" s="18" t="str">
        <x:v>成套内实例</x:v>
      </x:c>
      <x:c r="F61" s="18" t="str">
        <x:v>SRC-BUCKET 已含，不另计采购</x:v>
      </x:c>
      <x:c r="G61" s="18" t="str">
        <x:v>源几何参考；材料/功能未全验</x:v>
      </x:c>
      <x:c r="H61" s="2" t="str"/>
      <x:c r="I61" s="2" t="str"/>
      <x:c r="J61" s="6" t="str">
        <x:v>DISK_20261011_bm4_bridge_bolt.SLDPRT</x:v>
      </x:c>
    </x:row>
    <x:row r="62" ht="33" customHeight="1">
      <x:c r="A62" s="18" t="n">
        <x:v>55</x:v>
      </x:c>
      <x:c r="B62" s="18" t="str">
        <x:v>bm4_z_actuator</x:v>
      </x:c>
      <x:c r="C62" s="18" t="str">
        <x:v>保留原件</x:v>
      </x:c>
      <x:c r="D62" s="19" t="n">
        <x:v>1</x:v>
      </x:c>
      <x:c r="E62" s="18" t="str">
        <x:v>成套内实例</x:v>
      </x:c>
      <x:c r="F62" s="18" t="str">
        <x:v>SRC-BUCKET 已含，不另计采购</x:v>
      </x:c>
      <x:c r="G62" s="18" t="str">
        <x:v>源几何参考；材料/功能未全验</x:v>
      </x:c>
      <x:c r="H62" s="2" t="str"/>
      <x:c r="I62" s="2" t="str"/>
      <x:c r="J62" s="6" t="str">
        <x:v>DISK_20261011_bm4_z_actuator.SLDPRT</x:v>
      </x:c>
    </x:row>
    <x:row r="63" ht="33" customHeight="1">
      <x:c r="A63" s="18" t="n">
        <x:v>56</x:v>
      </x:c>
      <x:c r="B63" s="18" t="str">
        <x:v>bm4_hopper_rod</x:v>
      </x:c>
      <x:c r="C63" s="18" t="str">
        <x:v>保留原件</x:v>
      </x:c>
      <x:c r="D63" s="19" t="n">
        <x:v>1</x:v>
      </x:c>
      <x:c r="E63" s="18" t="str">
        <x:v>成套内实例</x:v>
      </x:c>
      <x:c r="F63" s="18" t="str">
        <x:v>SRC-BUCKET 已含，不另计采购</x:v>
      </x:c>
      <x:c r="G63" s="18" t="str">
        <x:v>源几何参考；材料/功能未全验</x:v>
      </x:c>
      <x:c r="H63" s="2" t="str"/>
      <x:c r="I63" s="2" t="str"/>
      <x:c r="J63" s="6" t="str">
        <x:v>DISK_20261011_bm4_hopper_rod.SLDPRT</x:v>
      </x:c>
    </x:row>
    <x:row r="64" ht="33" customHeight="1">
      <x:c r="A64" s="18" t="n">
        <x:v>57</x:v>
      </x:c>
      <x:c r="B64" s="18" t="str">
        <x:v>bm4_axial_rod_socket</x:v>
      </x:c>
      <x:c r="C64" s="18" t="str">
        <x:v>保留原件</x:v>
      </x:c>
      <x:c r="D64" s="19" t="n">
        <x:v>1</x:v>
      </x:c>
      <x:c r="E64" s="18" t="str">
        <x:v>成套内实例</x:v>
      </x:c>
      <x:c r="F64" s="18" t="str">
        <x:v>SRC-BUCKET 已含，不另计采购</x:v>
      </x:c>
      <x:c r="G64" s="18" t="str">
        <x:v>源几何参考；材料/功能未全验</x:v>
      </x:c>
      <x:c r="H64" s="2" t="str"/>
      <x:c r="I64" s="2" t="str"/>
      <x:c r="J64" s="6" t="str">
        <x:v>DISK_20261011_bm4_axial_rod_socket.SLDPRT</x:v>
      </x:c>
    </x:row>
    <x:row r="65" ht="33" customHeight="1">
      <x:c r="A65" s="18" t="n">
        <x:v>58</x:v>
      </x:c>
      <x:c r="B65" s="18" t="str">
        <x:v>bm4_actuator_rod</x:v>
      </x:c>
      <x:c r="C65" s="18" t="str">
        <x:v>保留原件</x:v>
      </x:c>
      <x:c r="D65" s="19" t="n">
        <x:v>1</x:v>
      </x:c>
      <x:c r="E65" s="18" t="str">
        <x:v>成套内实例</x:v>
      </x:c>
      <x:c r="F65" s="18" t="str">
        <x:v>SRC-BUCKET 已含，不另计采购</x:v>
      </x:c>
      <x:c r="G65" s="18" t="str">
        <x:v>源几何参考；材料/功能未全验</x:v>
      </x:c>
      <x:c r="H65" s="2" t="str"/>
      <x:c r="I65" s="2" t="str"/>
      <x:c r="J65" s="6" t="str">
        <x:v>DISK_20261011_bm4_actuator_rod.SLDPRT</x:v>
      </x:c>
    </x:row>
    <x:row r="66" ht="33" customHeight="1">
      <x:c r="A66" s="18" t="n">
        <x:v>59</x:v>
      </x:c>
      <x:c r="B66" s="18" t="str">
        <x:v>bm4_ring_lock_screw</x:v>
      </x:c>
      <x:c r="C66" s="18" t="str">
        <x:v>保留原件</x:v>
      </x:c>
      <x:c r="D66" s="19" t="n">
        <x:v>3</x:v>
      </x:c>
      <x:c r="E66" s="18" t="str">
        <x:v>成套内实例</x:v>
      </x:c>
      <x:c r="F66" s="18" t="str">
        <x:v>SRC-BUCKET 已含，不另计采购</x:v>
      </x:c>
      <x:c r="G66" s="18" t="str">
        <x:v>源几何参考；材料/功能未全验</x:v>
      </x:c>
      <x:c r="H66" s="2" t="str"/>
      <x:c r="I66" s="2" t="str"/>
      <x:c r="J66" s="6" t="str">
        <x:v>DISK_20261011_bm4_ring_lock_screw.SLDPRT</x:v>
      </x:c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pageMargins left="0.7" right="0.7" top="0.75" bottom="0.75" header="0.3" footer="0.3"/>
  <x:tableParts count="1">
    <x:tablePart xmlns:r="http://schemas.openxmlformats.org/officeDocument/2006/relationships" r:id="R4766db67a48646ab"/>
  </x:tableParts>
</x:worksheet>
</file>